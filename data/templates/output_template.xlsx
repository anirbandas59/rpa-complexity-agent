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wsl.localhost\Ubuntu\home\anirban\workspace\projects\rpa-complexity-agent\data\templates\"/>
    </mc:Choice>
  </mc:AlternateContent>
  <xr:revisionPtr revIDLastSave="0" documentId="13_ncr:1_{2996ABB5-94A7-4317-B622-46B10EB56FC9}" xr6:coauthVersionLast="47" xr6:coauthVersionMax="47" xr10:uidLastSave="{00000000-0000-0000-0000-000000000000}"/>
  <bookViews>
    <workbookView xWindow="-120" yWindow="-120" windowWidth="29040" windowHeight="15720" tabRatio="795" xr2:uid="{00000000-000D-0000-FFFF-FFFF00000000}"/>
  </bookViews>
  <sheets>
    <sheet name="Calculator" sheetId="20" r:id="rId1"/>
    <sheet name="Steps" sheetId="21" r:id="rId2"/>
    <sheet name="Feature and delivery timeline" sheetId="18" r:id="rId3"/>
  </sheets>
  <externalReferences>
    <externalReference r:id="rId4"/>
    <externalReference r:id="rId5"/>
    <externalReference r:id="rId6"/>
  </externalReferences>
  <definedNames>
    <definedName name="_xlnm._FilterDatabase" localSheetId="2" hidden="1">'Feature and delivery timeline'!$B$18:$K$18</definedName>
    <definedName name="ACCPT_STATUS" localSheetId="0">[1]!Table5[ACCEPTANCE STATUS]</definedName>
    <definedName name="ACCPT_STATUS" localSheetId="2">Table5[ACCEPTANCE STATUS]</definedName>
    <definedName name="ACCPT_STATUS" localSheetId="1">[1]!Table5[ACCEPTANCE STATUS]</definedName>
    <definedName name="ACCPT_STATUS">#REF!</definedName>
    <definedName name="APPROVED" localSheetId="0">'[2]Feature and delivery timeline'!$E$10</definedName>
    <definedName name="APPROVED" localSheetId="2">'Feature and delivery timeline'!$E$10</definedName>
    <definedName name="APPROVED" localSheetId="1">'[2]Feature and delivery timeline'!$E$10</definedName>
    <definedName name="APPROVED">#REF!</definedName>
    <definedName name="BLOCKER" localSheetId="0">'[1]Feature and delivery timeline'!$B$14</definedName>
    <definedName name="BLOCKER" localSheetId="2">'Feature and delivery timeline'!$B$14</definedName>
    <definedName name="BLOCKER" localSheetId="1">'[1]Feature and delivery timeline'!$B$14</definedName>
    <definedName name="BLOCKER">#REF!</definedName>
    <definedName name="COMPL_STATUS" localSheetId="2">'[3]ISSUE TYPES'!$G$5:$H$8</definedName>
    <definedName name="COMPL_STATUS">'[1]ISSUE TYPES'!$G$5:$H$8</definedName>
    <definedName name="COMPLETED" localSheetId="0">'[1]Feature and delivery timeline'!$B$10</definedName>
    <definedName name="COMPLETED" localSheetId="2">'Feature and delivery timeline'!$B$10</definedName>
    <definedName name="COMPLETED" localSheetId="1">'[1]Feature and delivery timeline'!$B$10</definedName>
    <definedName name="COMPLETED">#REF!</definedName>
    <definedName name="EPIC_COLUMN" localSheetId="2">'Feature and delivery timeline'!$B$19:$B$1005</definedName>
    <definedName name="EPIC_COLUMN">#REF!</definedName>
    <definedName name="EPIC_GROUP_COLUMN" localSheetId="2">'Feature and delivery timeline'!#REF!</definedName>
    <definedName name="EPIC_GROUP_COLUMN">#REF!</definedName>
    <definedName name="EPIC_GROUPS" localSheetId="2">#REF!</definedName>
    <definedName name="EPIC_GROUPS">#REF!</definedName>
    <definedName name="EPICS">#REF!</definedName>
    <definedName name="EPICS_TABLE" localSheetId="0">#REF!</definedName>
    <definedName name="EPICS_TABLE" localSheetId="1">#REF!</definedName>
    <definedName name="EPICS_TABLE">#REF!</definedName>
    <definedName name="IN_PROGRESS" localSheetId="0">'[2]Feature and delivery timeline'!$B$11</definedName>
    <definedName name="IN_PROGRESS" localSheetId="2">'Feature and delivery timeline'!$B$11</definedName>
    <definedName name="IN_PROGRESS" localSheetId="1">'[2]Feature and delivery timeline'!$B$11</definedName>
    <definedName name="IN_PROGRESS">#REF!</definedName>
    <definedName name="ISSUE_TYPE_COLUMN" localSheetId="2">'Feature and delivery timeline'!$C$19:$C$1005</definedName>
    <definedName name="ISSUE_TYPE_COLUMN">#REF!</definedName>
    <definedName name="ISSUE_TYPES" localSheetId="0">'[1]ISSUE TYPES'!$B$3:$B$4</definedName>
    <definedName name="ISSUE_TYPES" localSheetId="2">'[3]ISSUE TYPES'!$B$3:$B$4</definedName>
    <definedName name="ISSUE_TYPES" localSheetId="1">'[1]ISSUE TYPES'!$B$3:$B$4</definedName>
    <definedName name="ISSUE_TYPES">'[3]ISSUE TYPES'!$B$3:$B$4</definedName>
    <definedName name="JIRA_NUMBERS_COLUMN" localSheetId="2">'Feature and delivery timeline'!$K$19:$K$1005</definedName>
    <definedName name="JIRA_NUMBERS_COLUMN">#REF!</definedName>
    <definedName name="MAJOR" localSheetId="0">'[1]Feature and delivery timeline'!$B$15</definedName>
    <definedName name="MAJOR" localSheetId="2">'Feature and delivery timeline'!$B$15</definedName>
    <definedName name="MAJOR" localSheetId="1">'[1]Feature and delivery timeline'!$B$15</definedName>
    <definedName name="MAJOR">#REF!</definedName>
    <definedName name="MINOR" localSheetId="0">'[1]Feature and delivery timeline'!#REF!</definedName>
    <definedName name="MINOR" localSheetId="2">'Feature and delivery timeline'!#REF!</definedName>
    <definedName name="MINOR" localSheetId="1">'[1]Feature and delivery timeline'!#REF!</definedName>
    <definedName name="MINOR">#REF!</definedName>
    <definedName name="NOT_STARTED" localSheetId="0">'[2]Feature and delivery timeline'!$B$12</definedName>
    <definedName name="NOT_STARTED" localSheetId="2">'Feature and delivery timeline'!$B$12</definedName>
    <definedName name="NOT_STARTED" localSheetId="1">'[2]Feature and delivery timeline'!$B$12</definedName>
    <definedName name="NOT_STARTED">#REF!</definedName>
    <definedName name="PENDING" localSheetId="0">'[2]Feature and delivery timeline'!$E$12</definedName>
    <definedName name="PENDING" localSheetId="2">'Feature and delivery timeline'!$E$12</definedName>
    <definedName name="PENDING" localSheetId="1">'[2]Feature and delivery timeline'!$E$12</definedName>
    <definedName name="PENDING">#REF!</definedName>
    <definedName name="PRIORITIES" localSheetId="0">'[1]Feature and delivery timeline'!$B$14:$B$15</definedName>
    <definedName name="PRIORITIES" localSheetId="2">'Feature and delivery timeline'!$B$14:$B$15</definedName>
    <definedName name="PRIORITIES" localSheetId="1">'[1]Feature and delivery timeline'!$B$14:$B$15</definedName>
    <definedName name="PRIORITIES">#REF!</definedName>
    <definedName name="PRIORITY_COLUMN" localSheetId="0">'[2]Feature and delivery timeline'!$J$19:$J$1005</definedName>
    <definedName name="PRIORITY_COLUMN" localSheetId="2">'Feature and delivery timeline'!$J$19:$J$1005</definedName>
    <definedName name="PRIORITY_COLUMN" localSheetId="1">'[2]Feature and delivery timeline'!$J$19:$J$1005</definedName>
    <definedName name="PRIORITY_COLUMN">#REF!</definedName>
    <definedName name="PRL_TABLE" localSheetId="2">'Feature and delivery timeline'!$B$18:$L$1005</definedName>
    <definedName name="PRL_TABLE">#REF!</definedName>
    <definedName name="REJECTED" localSheetId="0">'[2]Feature and delivery timeline'!$E$11</definedName>
    <definedName name="REJECTED" localSheetId="2">'Feature and delivery timeline'!$E$11</definedName>
    <definedName name="REJECTED" localSheetId="1">'[2]Feature and delivery timeline'!$E$11</definedName>
    <definedName name="REJECTED">#REF!</definedName>
    <definedName name="SCOPE" localSheetId="2">Table5[[#Headers],[SCOPE]]</definedName>
    <definedName name="SCOPE">#REF!</definedName>
    <definedName name="SETUP_VALUES" localSheetId="2">VLOOKUP(#REF!,EPICS,2,0)</definedName>
    <definedName name="SETUP_VALUES">VLOOKUP(#REF!,EPICS,2,0)</definedName>
    <definedName name="SP_COLUMN" localSheetId="0">'[2]Feature and delivery timeline'!$G$19:$G$1005</definedName>
    <definedName name="SP_COLUMN" localSheetId="2">'Feature and delivery timeline'!$G$19:$G$1005</definedName>
    <definedName name="SP_COLUMN" localSheetId="1">'[2]Feature and delivery timeline'!$G$19:$G$1005</definedName>
    <definedName name="SP_COLUMN">#REF!</definedName>
    <definedName name="STATUSES" localSheetId="2">'[3]ISSUE TYPES'!#REF!</definedName>
    <definedName name="STATUSES">'[3]ISSUE TYPES'!#REF!</definedName>
    <definedName name="STATUSES_COLUMN" localSheetId="0">'[2]Feature and delivery timeline'!$L$19:$L$1005</definedName>
    <definedName name="STATUSES_COLUMN" localSheetId="2">'Feature and delivery timeline'!$L$19:$L$1005</definedName>
    <definedName name="STATUSES_COLUMN" localSheetId="1">'[2]Feature and delivery timeline'!$L$19:$L$1005</definedName>
    <definedName name="STATUSES_COLUMN">#REF!</definedName>
    <definedName name="TASK" localSheetId="0">'[1]ISSUE TYPES'!$B$4</definedName>
    <definedName name="TASK" localSheetId="2">'[3]ISSUE TYPES'!$B$4</definedName>
    <definedName name="TASK" localSheetId="1">'[1]ISSUE TYPES'!$B$4</definedName>
    <definedName name="TASK">'[3]ISSUE TYPES'!$B$4</definedName>
    <definedName name="TASKS_COLUMN" localSheetId="2">'Feature and delivery timeline'!$I$19:$I$1005</definedName>
    <definedName name="TASKS_COLUMN">#REF!</definedName>
    <definedName name="USER_STORY" localSheetId="0">'[1]ISSUE TYPES'!$B$3</definedName>
    <definedName name="USER_STORY" localSheetId="2">'[3]ISSUE TYPES'!$B$3</definedName>
    <definedName name="USER_STORY" localSheetId="1">'[1]ISSUE TYPES'!$B$3</definedName>
    <definedName name="USER_STORY">'[3]ISSUE TYPES'!$B$3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42" i="18" l="1"/>
  <c r="L42" i="18"/>
  <c r="G35" i="18"/>
  <c r="L35" i="18"/>
  <c r="L23" i="18"/>
  <c r="L24" i="18"/>
  <c r="L25" i="18"/>
  <c r="L22" i="18"/>
  <c r="G27" i="18" l="1"/>
  <c r="G37" i="18" l="1"/>
  <c r="G48" i="18" l="1"/>
  <c r="G21" i="18"/>
  <c r="L21" i="18"/>
  <c r="C88" i="21"/>
  <c r="C90" i="21" s="1"/>
  <c r="B10" i="20"/>
  <c r="F10" i="20"/>
  <c r="I10" i="20"/>
  <c r="L10" i="20"/>
  <c r="O10" i="20"/>
  <c r="R10" i="20"/>
  <c r="B11" i="20"/>
  <c r="F11" i="20"/>
  <c r="I11" i="20"/>
  <c r="I16" i="20" s="1"/>
  <c r="L11" i="20"/>
  <c r="L16" i="20" s="1"/>
  <c r="O11" i="20"/>
  <c r="R11" i="20"/>
  <c r="B12" i="20"/>
  <c r="F12" i="20"/>
  <c r="I12" i="20"/>
  <c r="L12" i="20"/>
  <c r="O12" i="20"/>
  <c r="R12" i="20"/>
  <c r="R16" i="20" s="1"/>
  <c r="B13" i="20"/>
  <c r="F13" i="20"/>
  <c r="I13" i="20"/>
  <c r="L13" i="20"/>
  <c r="O13" i="20"/>
  <c r="R13" i="20"/>
  <c r="B14" i="20"/>
  <c r="F14" i="20"/>
  <c r="I14" i="20"/>
  <c r="L14" i="20"/>
  <c r="O14" i="20"/>
  <c r="R14" i="20"/>
  <c r="B15" i="20"/>
  <c r="B16" i="20"/>
  <c r="E16" i="20"/>
  <c r="H16" i="20"/>
  <c r="K16" i="20"/>
  <c r="K18" i="20" s="1"/>
  <c r="N16" i="20"/>
  <c r="Q16" i="20"/>
  <c r="B17" i="20"/>
  <c r="B18" i="20"/>
  <c r="F16" i="20" l="1"/>
  <c r="O16" i="20"/>
  <c r="G18" i="20"/>
  <c r="G19" i="20" s="1"/>
  <c r="G25" i="18" l="1"/>
  <c r="G34" i="18" l="1"/>
  <c r="G39" i="18"/>
  <c r="G31" i="18"/>
  <c r="G32" i="18"/>
  <c r="G33" i="18"/>
  <c r="G24" i="18"/>
  <c r="G10" i="18" l="1" a="1"/>
  <c r="G10" i="18" s="1"/>
  <c r="G11" i="18" a="1"/>
  <c r="G11" i="18" s="1"/>
  <c r="G19" i="18"/>
  <c r="G20" i="18"/>
  <c r="G22" i="18"/>
  <c r="G23" i="18"/>
  <c r="G26" i="18"/>
  <c r="G28" i="18"/>
  <c r="G29" i="18"/>
  <c r="L29" i="18"/>
  <c r="G30" i="18"/>
  <c r="G36" i="18"/>
  <c r="G38" i="18"/>
  <c r="G40" i="18"/>
  <c r="G41" i="18"/>
  <c r="G43" i="18"/>
  <c r="L43" i="18"/>
  <c r="G44" i="18"/>
  <c r="L44" i="18"/>
  <c r="G45" i="18"/>
  <c r="L45" i="18"/>
  <c r="G46" i="18"/>
  <c r="L46" i="18"/>
  <c r="G47" i="18"/>
  <c r="L47" i="18"/>
  <c r="G49" i="18"/>
  <c r="L49" i="18"/>
  <c r="G50" i="18"/>
  <c r="L50" i="18"/>
  <c r="G51" i="18"/>
  <c r="L51" i="18"/>
  <c r="G52" i="18"/>
  <c r="L52" i="18"/>
  <c r="G53" i="18"/>
  <c r="L53" i="18"/>
  <c r="G54" i="18"/>
  <c r="L54" i="18"/>
  <c r="G55" i="18"/>
  <c r="L55" i="18"/>
  <c r="G56" i="18"/>
  <c r="L56" i="18"/>
  <c r="G57" i="18"/>
  <c r="L57" i="18"/>
  <c r="G58" i="18"/>
  <c r="L58" i="18"/>
  <c r="G59" i="18"/>
  <c r="L59" i="18"/>
  <c r="G60" i="18"/>
  <c r="L60" i="18"/>
  <c r="G61" i="18"/>
  <c r="L61" i="18"/>
  <c r="G62" i="18"/>
  <c r="L62" i="18"/>
  <c r="G63" i="18"/>
  <c r="L63" i="18"/>
  <c r="G64" i="18"/>
  <c r="L64" i="18"/>
  <c r="G65" i="18"/>
  <c r="L65" i="18"/>
  <c r="G66" i="18"/>
  <c r="L66" i="18"/>
  <c r="G67" i="18"/>
  <c r="L67" i="18"/>
  <c r="G68" i="18"/>
  <c r="L68" i="18"/>
  <c r="G69" i="18"/>
  <c r="L69" i="18"/>
  <c r="G70" i="18"/>
  <c r="L70" i="18"/>
  <c r="G71" i="18"/>
  <c r="L71" i="18"/>
  <c r="G72" i="18"/>
  <c r="L72" i="18"/>
  <c r="G73" i="18"/>
  <c r="L73" i="18"/>
  <c r="G74" i="18"/>
  <c r="L74" i="18"/>
  <c r="G75" i="18"/>
  <c r="L75" i="18"/>
  <c r="G76" i="18"/>
  <c r="L76" i="18"/>
  <c r="G77" i="18"/>
  <c r="L77" i="18"/>
  <c r="G78" i="18"/>
  <c r="L78" i="18"/>
  <c r="G79" i="18"/>
  <c r="L79" i="18"/>
  <c r="G80" i="18"/>
  <c r="L80" i="18"/>
  <c r="G81" i="18"/>
  <c r="L81" i="18"/>
  <c r="G82" i="18"/>
  <c r="L82" i="18"/>
  <c r="G83" i="18"/>
  <c r="L83" i="18"/>
  <c r="G84" i="18"/>
  <c r="L84" i="18"/>
  <c r="G85" i="18"/>
  <c r="L85" i="18"/>
  <c r="G86" i="18"/>
  <c r="L86" i="18"/>
  <c r="G87" i="18"/>
  <c r="L87" i="18"/>
  <c r="G88" i="18"/>
  <c r="L88" i="18"/>
  <c r="G89" i="18"/>
  <c r="L89" i="18"/>
  <c r="G90" i="18"/>
  <c r="L90" i="18"/>
  <c r="G91" i="18"/>
  <c r="L91" i="18"/>
  <c r="G92" i="18"/>
  <c r="L92" i="18"/>
  <c r="G93" i="18"/>
  <c r="L93" i="18"/>
  <c r="G94" i="18"/>
  <c r="L94" i="18"/>
  <c r="G95" i="18"/>
  <c r="L95" i="18"/>
  <c r="G96" i="18"/>
  <c r="L96" i="18"/>
  <c r="G97" i="18"/>
  <c r="L97" i="18"/>
  <c r="G98" i="18"/>
  <c r="L98" i="18"/>
  <c r="G99" i="18"/>
  <c r="L99" i="18"/>
  <c r="G100" i="18"/>
  <c r="L100" i="18"/>
  <c r="G101" i="18"/>
  <c r="L101" i="18"/>
  <c r="G102" i="18"/>
  <c r="L102" i="18"/>
  <c r="G103" i="18"/>
  <c r="L103" i="18"/>
  <c r="G104" i="18"/>
  <c r="L104" i="18"/>
  <c r="G105" i="18"/>
  <c r="L105" i="18"/>
  <c r="G106" i="18"/>
  <c r="L106" i="18"/>
  <c r="G107" i="18"/>
  <c r="L107" i="18"/>
  <c r="G108" i="18"/>
  <c r="L108" i="18"/>
  <c r="G109" i="18"/>
  <c r="L109" i="18"/>
  <c r="G110" i="18"/>
  <c r="L110" i="18"/>
  <c r="G111" i="18"/>
  <c r="L111" i="18"/>
  <c r="G112" i="18"/>
  <c r="L112" i="18"/>
  <c r="G113" i="18"/>
  <c r="L113" i="18"/>
  <c r="G114" i="18"/>
  <c r="L114" i="18"/>
  <c r="G115" i="18"/>
  <c r="L115" i="18"/>
  <c r="G116" i="18"/>
  <c r="L116" i="18"/>
  <c r="G117" i="18"/>
  <c r="L117" i="18"/>
  <c r="G118" i="18"/>
  <c r="L118" i="18"/>
  <c r="G119" i="18"/>
  <c r="L119" i="18"/>
  <c r="G120" i="18"/>
  <c r="L120" i="18"/>
  <c r="G121" i="18"/>
  <c r="L121" i="18"/>
  <c r="G122" i="18"/>
  <c r="L122" i="18"/>
  <c r="G123" i="18"/>
  <c r="L123" i="18"/>
  <c r="G124" i="18"/>
  <c r="L124" i="18"/>
  <c r="G125" i="18"/>
  <c r="L125" i="18"/>
  <c r="G126" i="18"/>
  <c r="L126" i="18"/>
  <c r="G127" i="18"/>
  <c r="L127" i="18"/>
  <c r="G128" i="18"/>
  <c r="L128" i="18"/>
  <c r="G129" i="18"/>
  <c r="L129" i="18"/>
  <c r="G130" i="18"/>
  <c r="L130" i="18"/>
  <c r="G131" i="18"/>
  <c r="L131" i="18"/>
  <c r="G132" i="18"/>
  <c r="L132" i="18"/>
  <c r="G133" i="18"/>
  <c r="L133" i="18"/>
  <c r="G134" i="18"/>
  <c r="L134" i="18"/>
  <c r="G135" i="18"/>
  <c r="L135" i="18"/>
  <c r="G136" i="18"/>
  <c r="L136" i="18"/>
  <c r="G137" i="18"/>
  <c r="L137" i="18"/>
  <c r="G138" i="18"/>
  <c r="L138" i="18"/>
  <c r="G139" i="18"/>
  <c r="L139" i="18"/>
  <c r="G140" i="18"/>
  <c r="L140" i="18"/>
  <c r="G141" i="18"/>
  <c r="L141" i="18"/>
  <c r="G142" i="18"/>
  <c r="L142" i="18"/>
  <c r="G143" i="18"/>
  <c r="L143" i="18"/>
  <c r="G144" i="18"/>
  <c r="L144" i="18"/>
  <c r="G145" i="18"/>
  <c r="L145" i="18"/>
  <c r="G146" i="18"/>
  <c r="L146" i="18"/>
  <c r="G147" i="18"/>
  <c r="L147" i="18"/>
  <c r="G148" i="18"/>
  <c r="L148" i="18"/>
  <c r="G149" i="18"/>
  <c r="L149" i="18"/>
  <c r="G150" i="18"/>
  <c r="L150" i="18"/>
  <c r="G151" i="18"/>
  <c r="L151" i="18"/>
  <c r="G152" i="18"/>
  <c r="L152" i="18"/>
  <c r="G153" i="18"/>
  <c r="L153" i="18"/>
  <c r="G154" i="18"/>
  <c r="L154" i="18"/>
  <c r="G155" i="18"/>
  <c r="L155" i="18"/>
  <c r="G156" i="18"/>
  <c r="L156" i="18"/>
  <c r="G157" i="18"/>
  <c r="L157" i="18"/>
  <c r="G158" i="18"/>
  <c r="L158" i="18"/>
  <c r="G159" i="18"/>
  <c r="L159" i="18"/>
  <c r="G160" i="18"/>
  <c r="L160" i="18"/>
  <c r="G161" i="18"/>
  <c r="L161" i="18"/>
  <c r="G162" i="18"/>
  <c r="L162" i="18"/>
  <c r="G163" i="18"/>
  <c r="L163" i="18"/>
  <c r="G164" i="18"/>
  <c r="L164" i="18"/>
  <c r="G165" i="18"/>
  <c r="L165" i="18"/>
  <c r="G166" i="18"/>
  <c r="L166" i="18"/>
  <c r="G167" i="18"/>
  <c r="L167" i="18"/>
  <c r="G168" i="18"/>
  <c r="L168" i="18"/>
  <c r="G169" i="18"/>
  <c r="L169" i="18"/>
  <c r="G170" i="18"/>
  <c r="L170" i="18"/>
  <c r="G171" i="18"/>
  <c r="L171" i="18"/>
  <c r="G172" i="18"/>
  <c r="L172" i="18"/>
  <c r="G173" i="18"/>
  <c r="L173" i="18"/>
  <c r="G174" i="18"/>
  <c r="L174" i="18"/>
  <c r="G175" i="18"/>
  <c r="L175" i="18"/>
  <c r="G176" i="18"/>
  <c r="L176" i="18"/>
  <c r="G177" i="18"/>
  <c r="L177" i="18"/>
  <c r="G178" i="18"/>
  <c r="L178" i="18"/>
  <c r="G179" i="18"/>
  <c r="L179" i="18"/>
  <c r="G180" i="18"/>
  <c r="L180" i="18"/>
  <c r="G181" i="18"/>
  <c r="L181" i="18"/>
  <c r="G182" i="18"/>
  <c r="L182" i="18"/>
  <c r="G183" i="18"/>
  <c r="L183" i="18"/>
  <c r="G184" i="18"/>
  <c r="L184" i="18"/>
  <c r="G185" i="18"/>
  <c r="L185" i="18"/>
  <c r="G186" i="18"/>
  <c r="L186" i="18"/>
  <c r="G187" i="18"/>
  <c r="L187" i="18"/>
  <c r="G188" i="18"/>
  <c r="L188" i="18"/>
  <c r="G189" i="18"/>
  <c r="L189" i="18"/>
  <c r="G190" i="18"/>
  <c r="L190" i="18"/>
  <c r="G191" i="18"/>
  <c r="L191" i="18"/>
  <c r="G192" i="18"/>
  <c r="L192" i="18"/>
  <c r="G193" i="18"/>
  <c r="L193" i="18"/>
  <c r="G194" i="18"/>
  <c r="L194" i="18"/>
  <c r="G195" i="18"/>
  <c r="L195" i="18"/>
  <c r="G196" i="18"/>
  <c r="L196" i="18"/>
  <c r="G197" i="18"/>
  <c r="L197" i="18"/>
  <c r="G198" i="18"/>
  <c r="L198" i="18"/>
  <c r="G199" i="18"/>
  <c r="L199" i="18"/>
  <c r="G200" i="18"/>
  <c r="L200" i="18"/>
  <c r="G201" i="18"/>
  <c r="L201" i="18"/>
  <c r="G202" i="18"/>
  <c r="L202" i="18"/>
  <c r="G203" i="18"/>
  <c r="L203" i="18"/>
  <c r="G204" i="18"/>
  <c r="L204" i="18"/>
  <c r="G205" i="18"/>
  <c r="L205" i="18"/>
  <c r="G206" i="18"/>
  <c r="L206" i="18"/>
  <c r="G207" i="18"/>
  <c r="L207" i="18"/>
  <c r="G208" i="18"/>
  <c r="L208" i="18"/>
  <c r="G209" i="18"/>
  <c r="L209" i="18"/>
  <c r="G210" i="18"/>
  <c r="L210" i="18"/>
  <c r="G211" i="18"/>
  <c r="L211" i="18"/>
  <c r="G212" i="18"/>
  <c r="L212" i="18"/>
  <c r="G213" i="18"/>
  <c r="L213" i="18"/>
  <c r="G214" i="18"/>
  <c r="L214" i="18"/>
  <c r="G215" i="18"/>
  <c r="L215" i="18"/>
  <c r="G216" i="18"/>
  <c r="L216" i="18"/>
  <c r="G217" i="18"/>
  <c r="L217" i="18"/>
  <c r="G218" i="18"/>
  <c r="L218" i="18"/>
  <c r="G219" i="18"/>
  <c r="L219" i="18"/>
  <c r="G220" i="18"/>
  <c r="L220" i="18"/>
  <c r="G221" i="18"/>
  <c r="L221" i="18"/>
  <c r="G222" i="18"/>
  <c r="L222" i="18"/>
  <c r="G223" i="18"/>
  <c r="L223" i="18"/>
  <c r="G224" i="18"/>
  <c r="L224" i="18"/>
  <c r="G225" i="18"/>
  <c r="L225" i="18"/>
  <c r="G226" i="18"/>
  <c r="L226" i="18"/>
  <c r="G227" i="18"/>
  <c r="L227" i="18"/>
  <c r="G228" i="18"/>
  <c r="L228" i="18"/>
  <c r="G229" i="18"/>
  <c r="L229" i="18"/>
  <c r="G230" i="18"/>
  <c r="L230" i="18"/>
  <c r="G231" i="18"/>
  <c r="L231" i="18"/>
  <c r="G232" i="18"/>
  <c r="L232" i="18"/>
  <c r="G233" i="18"/>
  <c r="L233" i="18"/>
  <c r="G234" i="18"/>
  <c r="L234" i="18"/>
  <c r="G235" i="18"/>
  <c r="L235" i="18"/>
  <c r="G236" i="18"/>
  <c r="L236" i="18"/>
  <c r="G237" i="18"/>
  <c r="L237" i="18"/>
  <c r="G238" i="18"/>
  <c r="L238" i="18"/>
  <c r="G239" i="18"/>
  <c r="L239" i="18"/>
  <c r="G240" i="18"/>
  <c r="L240" i="18"/>
  <c r="G241" i="18"/>
  <c r="L241" i="18"/>
  <c r="G242" i="18"/>
  <c r="L242" i="18"/>
  <c r="G243" i="18"/>
  <c r="L243" i="18"/>
  <c r="G244" i="18"/>
  <c r="L244" i="18"/>
  <c r="G245" i="18"/>
  <c r="L245" i="18"/>
  <c r="G246" i="18"/>
  <c r="L246" i="18"/>
  <c r="G247" i="18"/>
  <c r="L247" i="18"/>
  <c r="G248" i="18"/>
  <c r="L248" i="18"/>
  <c r="G249" i="18"/>
  <c r="L249" i="18"/>
  <c r="G250" i="18"/>
  <c r="L250" i="18"/>
  <c r="G251" i="18"/>
  <c r="L251" i="18"/>
  <c r="G252" i="18"/>
  <c r="L252" i="18"/>
  <c r="G253" i="18"/>
  <c r="L253" i="18"/>
  <c r="G254" i="18"/>
  <c r="L254" i="18"/>
  <c r="G255" i="18"/>
  <c r="L255" i="18"/>
  <c r="G256" i="18"/>
  <c r="L256" i="18"/>
  <c r="G257" i="18"/>
  <c r="L257" i="18"/>
  <c r="G258" i="18"/>
  <c r="L258" i="18"/>
  <c r="G259" i="18"/>
  <c r="L259" i="18"/>
  <c r="G260" i="18"/>
  <c r="L260" i="18"/>
  <c r="G261" i="18"/>
  <c r="L261" i="18"/>
  <c r="G262" i="18"/>
  <c r="L262" i="18"/>
  <c r="G263" i="18"/>
  <c r="L263" i="18"/>
  <c r="G264" i="18"/>
  <c r="L264" i="18"/>
  <c r="G265" i="18"/>
  <c r="L265" i="18"/>
  <c r="G266" i="18"/>
  <c r="L266" i="18"/>
  <c r="G267" i="18"/>
  <c r="L267" i="18"/>
  <c r="G268" i="18"/>
  <c r="L268" i="18"/>
  <c r="G269" i="18"/>
  <c r="L269" i="18"/>
  <c r="G270" i="18"/>
  <c r="L270" i="18"/>
  <c r="G271" i="18"/>
  <c r="L271" i="18"/>
  <c r="G272" i="18"/>
  <c r="L272" i="18"/>
  <c r="G273" i="18"/>
  <c r="L273" i="18"/>
  <c r="G274" i="18"/>
  <c r="L274" i="18"/>
  <c r="G275" i="18"/>
  <c r="L275" i="18"/>
  <c r="G276" i="18"/>
  <c r="L276" i="18"/>
  <c r="G277" i="18"/>
  <c r="L277" i="18"/>
  <c r="G278" i="18"/>
  <c r="L278" i="18"/>
  <c r="G279" i="18"/>
  <c r="L279" i="18"/>
  <c r="G280" i="18"/>
  <c r="L280" i="18"/>
  <c r="G281" i="18"/>
  <c r="L281" i="18"/>
  <c r="G282" i="18"/>
  <c r="L282" i="18"/>
  <c r="G283" i="18"/>
  <c r="L283" i="18"/>
  <c r="G284" i="18"/>
  <c r="L284" i="18"/>
  <c r="G285" i="18"/>
  <c r="L285" i="18"/>
  <c r="G286" i="18"/>
  <c r="L286" i="18"/>
  <c r="G287" i="18"/>
  <c r="L287" i="18"/>
  <c r="G288" i="18"/>
  <c r="L288" i="18"/>
  <c r="G289" i="18"/>
  <c r="L289" i="18"/>
  <c r="G290" i="18"/>
  <c r="L290" i="18"/>
  <c r="G291" i="18"/>
  <c r="L291" i="18"/>
  <c r="G292" i="18"/>
  <c r="L292" i="18"/>
  <c r="G293" i="18"/>
  <c r="L293" i="18"/>
  <c r="G294" i="18"/>
  <c r="L294" i="18"/>
  <c r="G295" i="18"/>
  <c r="L295" i="18"/>
  <c r="G296" i="18"/>
  <c r="L296" i="18"/>
  <c r="G297" i="18"/>
  <c r="L297" i="18"/>
  <c r="G298" i="18"/>
  <c r="L298" i="18"/>
  <c r="G299" i="18"/>
  <c r="L299" i="18"/>
  <c r="G300" i="18"/>
  <c r="L300" i="18"/>
  <c r="G301" i="18"/>
  <c r="L301" i="18"/>
  <c r="G302" i="18"/>
  <c r="L302" i="18"/>
  <c r="G303" i="18"/>
  <c r="L303" i="18"/>
  <c r="G304" i="18"/>
  <c r="L304" i="18"/>
  <c r="G305" i="18"/>
  <c r="L305" i="18"/>
  <c r="G306" i="18"/>
  <c r="L306" i="18"/>
  <c r="G307" i="18"/>
  <c r="L307" i="18"/>
  <c r="G308" i="18"/>
  <c r="L308" i="18"/>
  <c r="G309" i="18"/>
  <c r="L309" i="18"/>
  <c r="G310" i="18"/>
  <c r="L310" i="18"/>
  <c r="G311" i="18"/>
  <c r="L311" i="18"/>
  <c r="G312" i="18"/>
  <c r="L312" i="18"/>
  <c r="G313" i="18"/>
  <c r="L313" i="18"/>
  <c r="G314" i="18"/>
  <c r="L314" i="18"/>
  <c r="G315" i="18"/>
  <c r="L315" i="18"/>
  <c r="G316" i="18"/>
  <c r="L316" i="18"/>
  <c r="G317" i="18"/>
  <c r="L317" i="18"/>
  <c r="G318" i="18"/>
  <c r="L318" i="18"/>
  <c r="G319" i="18"/>
  <c r="L319" i="18"/>
  <c r="G320" i="18"/>
  <c r="L320" i="18"/>
  <c r="G321" i="18"/>
  <c r="L321" i="18"/>
  <c r="G322" i="18"/>
  <c r="L322" i="18"/>
  <c r="G323" i="18"/>
  <c r="L323" i="18"/>
  <c r="G324" i="18"/>
  <c r="L324" i="18"/>
  <c r="G325" i="18"/>
  <c r="L325" i="18"/>
  <c r="G326" i="18"/>
  <c r="L326" i="18"/>
  <c r="G327" i="18"/>
  <c r="L327" i="18"/>
  <c r="G328" i="18"/>
  <c r="L328" i="18"/>
  <c r="G329" i="18"/>
  <c r="L329" i="18"/>
  <c r="G330" i="18"/>
  <c r="L330" i="18"/>
  <c r="G331" i="18"/>
  <c r="L331" i="18"/>
  <c r="G332" i="18"/>
  <c r="L332" i="18"/>
  <c r="G333" i="18"/>
  <c r="L333" i="18"/>
  <c r="G334" i="18"/>
  <c r="L334" i="18"/>
  <c r="G335" i="18"/>
  <c r="L335" i="18"/>
  <c r="G336" i="18"/>
  <c r="L336" i="18"/>
  <c r="G337" i="18"/>
  <c r="L337" i="18"/>
  <c r="G338" i="18"/>
  <c r="L338" i="18"/>
  <c r="G339" i="18"/>
  <c r="L339" i="18"/>
  <c r="G340" i="18"/>
  <c r="L340" i="18"/>
  <c r="G341" i="18"/>
  <c r="L341" i="18"/>
  <c r="G342" i="18"/>
  <c r="L342" i="18"/>
  <c r="G343" i="18"/>
  <c r="L343" i="18"/>
  <c r="G344" i="18"/>
  <c r="L344" i="18"/>
  <c r="G345" i="18"/>
  <c r="L345" i="18"/>
  <c r="G346" i="18"/>
  <c r="L346" i="18"/>
  <c r="G347" i="18"/>
  <c r="L347" i="18"/>
  <c r="G348" i="18"/>
  <c r="L348" i="18"/>
  <c r="G349" i="18"/>
  <c r="L349" i="18"/>
  <c r="G350" i="18"/>
  <c r="L350" i="18"/>
  <c r="G351" i="18"/>
  <c r="L351" i="18"/>
  <c r="G352" i="18"/>
  <c r="L352" i="18"/>
  <c r="G353" i="18"/>
  <c r="L353" i="18"/>
  <c r="G354" i="18"/>
  <c r="L354" i="18"/>
  <c r="G355" i="18"/>
  <c r="L355" i="18"/>
  <c r="G356" i="18"/>
  <c r="L356" i="18"/>
  <c r="G357" i="18"/>
  <c r="L357" i="18"/>
  <c r="G358" i="18"/>
  <c r="L358" i="18"/>
  <c r="G359" i="18"/>
  <c r="L359" i="18"/>
  <c r="G360" i="18"/>
  <c r="L360" i="18"/>
  <c r="G361" i="18"/>
  <c r="L361" i="18"/>
  <c r="G362" i="18"/>
  <c r="L362" i="18"/>
  <c r="G363" i="18"/>
  <c r="L363" i="18"/>
  <c r="G364" i="18"/>
  <c r="L364" i="18"/>
  <c r="G365" i="18"/>
  <c r="L365" i="18"/>
  <c r="G366" i="18"/>
  <c r="L366" i="18"/>
  <c r="G367" i="18"/>
  <c r="L367" i="18"/>
  <c r="G368" i="18"/>
  <c r="L368" i="18"/>
  <c r="G369" i="18"/>
  <c r="L369" i="18"/>
  <c r="G370" i="18"/>
  <c r="L370" i="18"/>
  <c r="G371" i="18"/>
  <c r="L371" i="18"/>
  <c r="G372" i="18"/>
  <c r="L372" i="18"/>
  <c r="G373" i="18"/>
  <c r="L373" i="18"/>
  <c r="G374" i="18"/>
  <c r="L374" i="18"/>
  <c r="G375" i="18"/>
  <c r="L375" i="18"/>
  <c r="G376" i="18"/>
  <c r="L376" i="18"/>
  <c r="G377" i="18"/>
  <c r="L377" i="18"/>
  <c r="G378" i="18"/>
  <c r="L378" i="18"/>
  <c r="G379" i="18"/>
  <c r="L379" i="18"/>
  <c r="G380" i="18"/>
  <c r="L380" i="18"/>
  <c r="G381" i="18"/>
  <c r="L381" i="18"/>
  <c r="G382" i="18"/>
  <c r="L382" i="18"/>
  <c r="G383" i="18"/>
  <c r="L383" i="18"/>
  <c r="G384" i="18"/>
  <c r="L384" i="18"/>
  <c r="G385" i="18"/>
  <c r="L385" i="18"/>
  <c r="G386" i="18"/>
  <c r="L386" i="18"/>
  <c r="G387" i="18"/>
  <c r="L387" i="18"/>
  <c r="G388" i="18"/>
  <c r="L388" i="18"/>
  <c r="G389" i="18"/>
  <c r="L389" i="18"/>
  <c r="G390" i="18"/>
  <c r="L390" i="18"/>
  <c r="G391" i="18"/>
  <c r="L391" i="18"/>
  <c r="G392" i="18"/>
  <c r="L392" i="18"/>
  <c r="G393" i="18"/>
  <c r="L393" i="18"/>
  <c r="G394" i="18"/>
  <c r="L394" i="18"/>
  <c r="G395" i="18"/>
  <c r="L395" i="18"/>
  <c r="G396" i="18"/>
  <c r="L396" i="18"/>
  <c r="G397" i="18"/>
  <c r="L397" i="18"/>
  <c r="G398" i="18"/>
  <c r="L398" i="18"/>
  <c r="G399" i="18"/>
  <c r="L399" i="18"/>
  <c r="G400" i="18"/>
  <c r="L400" i="18"/>
  <c r="G401" i="18"/>
  <c r="L401" i="18"/>
  <c r="G402" i="18"/>
  <c r="L402" i="18"/>
  <c r="G403" i="18"/>
  <c r="L403" i="18"/>
  <c r="G404" i="18"/>
  <c r="L404" i="18"/>
  <c r="G405" i="18"/>
  <c r="L405" i="18"/>
  <c r="G406" i="18"/>
  <c r="L406" i="18"/>
  <c r="G407" i="18"/>
  <c r="L407" i="18"/>
  <c r="G408" i="18"/>
  <c r="L408" i="18"/>
  <c r="G409" i="18"/>
  <c r="L409" i="18"/>
  <c r="G410" i="18"/>
  <c r="L410" i="18"/>
  <c r="G411" i="18"/>
  <c r="L411" i="18"/>
  <c r="G412" i="18"/>
  <c r="L412" i="18"/>
  <c r="G413" i="18"/>
  <c r="L413" i="18"/>
  <c r="G414" i="18"/>
  <c r="L414" i="18"/>
  <c r="G415" i="18"/>
  <c r="L415" i="18"/>
  <c r="G416" i="18"/>
  <c r="L416" i="18"/>
  <c r="G417" i="18"/>
  <c r="L417" i="18"/>
  <c r="G418" i="18"/>
  <c r="L418" i="18"/>
  <c r="G419" i="18"/>
  <c r="L419" i="18"/>
  <c r="G420" i="18"/>
  <c r="L420" i="18"/>
  <c r="G421" i="18"/>
  <c r="L421" i="18"/>
  <c r="G422" i="18"/>
  <c r="L422" i="18"/>
  <c r="G423" i="18"/>
  <c r="L423" i="18"/>
  <c r="G424" i="18"/>
  <c r="L424" i="18"/>
  <c r="G425" i="18"/>
  <c r="L425" i="18"/>
  <c r="G426" i="18"/>
  <c r="L426" i="18"/>
  <c r="G427" i="18"/>
  <c r="L427" i="18"/>
  <c r="G428" i="18"/>
  <c r="L428" i="18"/>
  <c r="G429" i="18"/>
  <c r="L429" i="18"/>
  <c r="G430" i="18"/>
  <c r="L430" i="18"/>
  <c r="G431" i="18"/>
  <c r="L431" i="18"/>
  <c r="G432" i="18"/>
  <c r="L432" i="18"/>
  <c r="G433" i="18"/>
  <c r="L433" i="18"/>
  <c r="G434" i="18"/>
  <c r="L434" i="18"/>
  <c r="G435" i="18"/>
  <c r="L435" i="18"/>
  <c r="G436" i="18"/>
  <c r="L436" i="18"/>
  <c r="G437" i="18"/>
  <c r="L437" i="18"/>
  <c r="G438" i="18"/>
  <c r="L438" i="18"/>
  <c r="G439" i="18"/>
  <c r="L439" i="18"/>
  <c r="G440" i="18"/>
  <c r="L440" i="18"/>
  <c r="G441" i="18"/>
  <c r="L441" i="18"/>
  <c r="G442" i="18"/>
  <c r="L442" i="18"/>
  <c r="G443" i="18"/>
  <c r="L443" i="18"/>
  <c r="G444" i="18"/>
  <c r="L444" i="18"/>
  <c r="G445" i="18"/>
  <c r="L445" i="18"/>
  <c r="G446" i="18"/>
  <c r="L446" i="18"/>
  <c r="G447" i="18"/>
  <c r="L447" i="18"/>
  <c r="G448" i="18"/>
  <c r="L448" i="18"/>
  <c r="G449" i="18"/>
  <c r="L449" i="18"/>
  <c r="G450" i="18"/>
  <c r="L450" i="18"/>
  <c r="G451" i="18"/>
  <c r="L451" i="18"/>
  <c r="G452" i="18"/>
  <c r="L452" i="18"/>
  <c r="G453" i="18"/>
  <c r="L453" i="18"/>
  <c r="G454" i="18"/>
  <c r="L454" i="18"/>
  <c r="G455" i="18"/>
  <c r="L455" i="18"/>
  <c r="G456" i="18"/>
  <c r="L456" i="18"/>
  <c r="G457" i="18"/>
  <c r="L457" i="18"/>
  <c r="G458" i="18"/>
  <c r="L458" i="18"/>
  <c r="G459" i="18"/>
  <c r="L459" i="18"/>
  <c r="G460" i="18"/>
  <c r="L460" i="18"/>
  <c r="G461" i="18"/>
  <c r="L461" i="18"/>
  <c r="G462" i="18"/>
  <c r="L462" i="18"/>
  <c r="G463" i="18"/>
  <c r="L463" i="18"/>
  <c r="G464" i="18"/>
  <c r="L464" i="18"/>
  <c r="G465" i="18"/>
  <c r="L465" i="18"/>
  <c r="G466" i="18"/>
  <c r="L466" i="18"/>
  <c r="G467" i="18"/>
  <c r="L467" i="18"/>
  <c r="G468" i="18"/>
  <c r="L468" i="18"/>
  <c r="G469" i="18"/>
  <c r="L469" i="18"/>
  <c r="G470" i="18"/>
  <c r="L470" i="18"/>
  <c r="G471" i="18"/>
  <c r="L471" i="18"/>
  <c r="G472" i="18"/>
  <c r="L472" i="18"/>
  <c r="G473" i="18"/>
  <c r="L473" i="18"/>
  <c r="G474" i="18"/>
  <c r="L474" i="18"/>
  <c r="G475" i="18"/>
  <c r="L475" i="18"/>
  <c r="G476" i="18"/>
  <c r="L476" i="18"/>
  <c r="G477" i="18"/>
  <c r="L477" i="18"/>
  <c r="G478" i="18"/>
  <c r="L478" i="18"/>
  <c r="G479" i="18"/>
  <c r="L479" i="18"/>
  <c r="G480" i="18"/>
  <c r="L480" i="18"/>
  <c r="G481" i="18"/>
  <c r="L481" i="18"/>
  <c r="G482" i="18"/>
  <c r="L482" i="18"/>
  <c r="G483" i="18"/>
  <c r="L483" i="18"/>
  <c r="G484" i="18"/>
  <c r="L484" i="18"/>
  <c r="G485" i="18"/>
  <c r="L485" i="18"/>
  <c r="G486" i="18"/>
  <c r="L486" i="18"/>
  <c r="G487" i="18"/>
  <c r="L487" i="18"/>
  <c r="G488" i="18"/>
  <c r="L488" i="18"/>
  <c r="G489" i="18"/>
  <c r="L489" i="18"/>
  <c r="G490" i="18"/>
  <c r="L490" i="18"/>
  <c r="G491" i="18"/>
  <c r="L491" i="18"/>
  <c r="G492" i="18"/>
  <c r="L492" i="18"/>
  <c r="G493" i="18"/>
  <c r="L493" i="18"/>
  <c r="G494" i="18"/>
  <c r="L494" i="18"/>
  <c r="G495" i="18"/>
  <c r="L495" i="18"/>
  <c r="G496" i="18"/>
  <c r="L496" i="18"/>
  <c r="G497" i="18"/>
  <c r="L497" i="18"/>
  <c r="G498" i="18"/>
  <c r="L498" i="18"/>
  <c r="G499" i="18"/>
  <c r="L499" i="18"/>
  <c r="G500" i="18"/>
  <c r="L500" i="18"/>
  <c r="G501" i="18"/>
  <c r="L501" i="18"/>
  <c r="G502" i="18"/>
  <c r="L502" i="18"/>
  <c r="G503" i="18"/>
  <c r="L503" i="18"/>
  <c r="G504" i="18"/>
  <c r="L504" i="18"/>
  <c r="G505" i="18"/>
  <c r="L505" i="18"/>
  <c r="G506" i="18"/>
  <c r="L506" i="18"/>
  <c r="G507" i="18"/>
  <c r="L507" i="18"/>
  <c r="G508" i="18"/>
  <c r="L508" i="18"/>
  <c r="G509" i="18"/>
  <c r="L509" i="18"/>
  <c r="G510" i="18"/>
  <c r="L510" i="18"/>
  <c r="G511" i="18"/>
  <c r="L511" i="18"/>
  <c r="G512" i="18"/>
  <c r="L512" i="18"/>
  <c r="G513" i="18"/>
  <c r="L513" i="18"/>
  <c r="G514" i="18"/>
  <c r="L514" i="18"/>
  <c r="G515" i="18"/>
  <c r="L515" i="18"/>
  <c r="G516" i="18"/>
  <c r="L516" i="18"/>
  <c r="G517" i="18"/>
  <c r="L517" i="18"/>
  <c r="G518" i="18"/>
  <c r="L518" i="18"/>
  <c r="G519" i="18"/>
  <c r="L519" i="18"/>
  <c r="G520" i="18"/>
  <c r="L520" i="18"/>
  <c r="G521" i="18"/>
  <c r="L521" i="18"/>
  <c r="G522" i="18"/>
  <c r="L522" i="18"/>
  <c r="G523" i="18"/>
  <c r="L523" i="18"/>
  <c r="G524" i="18"/>
  <c r="L524" i="18"/>
  <c r="G525" i="18"/>
  <c r="L525" i="18"/>
  <c r="G526" i="18"/>
  <c r="L526" i="18"/>
  <c r="G527" i="18"/>
  <c r="L527" i="18"/>
  <c r="G528" i="18"/>
  <c r="L528" i="18"/>
  <c r="G529" i="18"/>
  <c r="L529" i="18"/>
  <c r="G530" i="18"/>
  <c r="L530" i="18"/>
  <c r="G531" i="18"/>
  <c r="L531" i="18"/>
  <c r="G532" i="18"/>
  <c r="L532" i="18"/>
  <c r="G533" i="18"/>
  <c r="L533" i="18"/>
  <c r="G534" i="18"/>
  <c r="L534" i="18"/>
  <c r="G535" i="18"/>
  <c r="L535" i="18"/>
  <c r="G536" i="18"/>
  <c r="L536" i="18"/>
  <c r="G537" i="18"/>
  <c r="L537" i="18"/>
  <c r="G538" i="18"/>
  <c r="L538" i="18"/>
  <c r="G539" i="18"/>
  <c r="L539" i="18"/>
  <c r="G540" i="18"/>
  <c r="L540" i="18"/>
  <c r="G541" i="18"/>
  <c r="L541" i="18"/>
  <c r="G542" i="18"/>
  <c r="L542" i="18"/>
  <c r="G543" i="18"/>
  <c r="L543" i="18"/>
  <c r="G544" i="18"/>
  <c r="L544" i="18"/>
  <c r="G545" i="18"/>
  <c r="L545" i="18"/>
  <c r="G546" i="18"/>
  <c r="L546" i="18"/>
  <c r="G547" i="18"/>
  <c r="L547" i="18"/>
  <c r="G548" i="18"/>
  <c r="L548" i="18"/>
  <c r="G549" i="18"/>
  <c r="L549" i="18"/>
  <c r="G550" i="18"/>
  <c r="L550" i="18"/>
  <c r="G551" i="18"/>
  <c r="L551" i="18"/>
  <c r="G552" i="18"/>
  <c r="L552" i="18"/>
  <c r="G553" i="18"/>
  <c r="L553" i="18"/>
  <c r="G554" i="18"/>
  <c r="L554" i="18"/>
  <c r="G555" i="18"/>
  <c r="L555" i="18"/>
  <c r="G556" i="18"/>
  <c r="L556" i="18"/>
  <c r="G557" i="18"/>
  <c r="L557" i="18"/>
  <c r="G558" i="18"/>
  <c r="L558" i="18"/>
  <c r="G559" i="18"/>
  <c r="L559" i="18"/>
  <c r="G560" i="18"/>
  <c r="L560" i="18"/>
  <c r="G561" i="18"/>
  <c r="L561" i="18"/>
  <c r="G562" i="18"/>
  <c r="L562" i="18"/>
  <c r="G563" i="18"/>
  <c r="L563" i="18"/>
  <c r="G564" i="18"/>
  <c r="L564" i="18"/>
  <c r="G565" i="18"/>
  <c r="L565" i="18"/>
  <c r="G566" i="18"/>
  <c r="L566" i="18"/>
  <c r="G567" i="18"/>
  <c r="L567" i="18"/>
  <c r="G568" i="18"/>
  <c r="L568" i="18"/>
  <c r="G569" i="18"/>
  <c r="L569" i="18"/>
  <c r="G570" i="18"/>
  <c r="L570" i="18"/>
  <c r="G571" i="18"/>
  <c r="L571" i="18"/>
  <c r="G572" i="18"/>
  <c r="L572" i="18"/>
  <c r="G573" i="18"/>
  <c r="L573" i="18"/>
  <c r="G574" i="18"/>
  <c r="L574" i="18"/>
  <c r="G575" i="18"/>
  <c r="L575" i="18"/>
  <c r="G576" i="18"/>
  <c r="L576" i="18"/>
  <c r="G577" i="18"/>
  <c r="L577" i="18"/>
  <c r="G578" i="18"/>
  <c r="L578" i="18"/>
  <c r="G579" i="18"/>
  <c r="L579" i="18"/>
  <c r="G580" i="18"/>
  <c r="L580" i="18"/>
  <c r="G581" i="18"/>
  <c r="L581" i="18"/>
  <c r="G582" i="18"/>
  <c r="L582" i="18"/>
  <c r="G583" i="18"/>
  <c r="L583" i="18"/>
  <c r="G584" i="18"/>
  <c r="L584" i="18"/>
  <c r="G585" i="18"/>
  <c r="L585" i="18"/>
  <c r="G586" i="18"/>
  <c r="L586" i="18"/>
  <c r="G587" i="18"/>
  <c r="L587" i="18"/>
  <c r="G588" i="18"/>
  <c r="L588" i="18"/>
  <c r="G589" i="18"/>
  <c r="L589" i="18"/>
  <c r="G590" i="18"/>
  <c r="L590" i="18"/>
  <c r="G591" i="18"/>
  <c r="L591" i="18"/>
  <c r="G592" i="18"/>
  <c r="L592" i="18"/>
  <c r="G593" i="18"/>
  <c r="L593" i="18"/>
  <c r="G594" i="18"/>
  <c r="L594" i="18"/>
  <c r="G595" i="18"/>
  <c r="L595" i="18"/>
  <c r="G596" i="18"/>
  <c r="L596" i="18"/>
  <c r="G597" i="18"/>
  <c r="L597" i="18"/>
  <c r="G598" i="18"/>
  <c r="L598" i="18"/>
  <c r="G599" i="18"/>
  <c r="L599" i="18"/>
  <c r="G600" i="18"/>
  <c r="L600" i="18"/>
  <c r="G601" i="18"/>
  <c r="L601" i="18"/>
  <c r="G602" i="18"/>
  <c r="L602" i="18"/>
  <c r="G603" i="18"/>
  <c r="L603" i="18"/>
  <c r="G604" i="18"/>
  <c r="L604" i="18"/>
  <c r="G605" i="18"/>
  <c r="L605" i="18"/>
  <c r="G606" i="18"/>
  <c r="L606" i="18"/>
  <c r="G607" i="18"/>
  <c r="L607" i="18"/>
  <c r="G608" i="18"/>
  <c r="L608" i="18"/>
  <c r="G609" i="18"/>
  <c r="L609" i="18"/>
  <c r="G610" i="18"/>
  <c r="L610" i="18"/>
  <c r="G611" i="18"/>
  <c r="L611" i="18"/>
  <c r="G612" i="18"/>
  <c r="L612" i="18"/>
  <c r="G613" i="18"/>
  <c r="L613" i="18"/>
  <c r="G614" i="18"/>
  <c r="L614" i="18"/>
  <c r="G615" i="18"/>
  <c r="L615" i="18"/>
  <c r="G616" i="18"/>
  <c r="L616" i="18"/>
  <c r="G617" i="18"/>
  <c r="L617" i="18"/>
  <c r="G618" i="18"/>
  <c r="L618" i="18"/>
  <c r="G619" i="18"/>
  <c r="L619" i="18"/>
  <c r="G620" i="18"/>
  <c r="L620" i="18"/>
  <c r="G621" i="18"/>
  <c r="L621" i="18"/>
  <c r="G622" i="18"/>
  <c r="L622" i="18"/>
  <c r="G623" i="18"/>
  <c r="L623" i="18"/>
  <c r="G624" i="18"/>
  <c r="L624" i="18"/>
  <c r="G625" i="18"/>
  <c r="L625" i="18"/>
  <c r="G626" i="18"/>
  <c r="L626" i="18"/>
  <c r="G627" i="18"/>
  <c r="L627" i="18"/>
  <c r="G628" i="18"/>
  <c r="L628" i="18"/>
  <c r="G629" i="18"/>
  <c r="L629" i="18"/>
  <c r="G630" i="18"/>
  <c r="L630" i="18"/>
  <c r="G631" i="18"/>
  <c r="L631" i="18"/>
  <c r="G632" i="18"/>
  <c r="L632" i="18"/>
  <c r="G633" i="18"/>
  <c r="L633" i="18"/>
  <c r="G634" i="18"/>
  <c r="L634" i="18"/>
  <c r="G635" i="18"/>
  <c r="L635" i="18"/>
  <c r="G636" i="18"/>
  <c r="L636" i="18"/>
  <c r="G637" i="18"/>
  <c r="L637" i="18"/>
  <c r="G638" i="18"/>
  <c r="L638" i="18"/>
  <c r="G639" i="18"/>
  <c r="L639" i="18"/>
  <c r="G640" i="18"/>
  <c r="L640" i="18"/>
  <c r="G641" i="18"/>
  <c r="L641" i="18"/>
  <c r="G642" i="18"/>
  <c r="L642" i="18"/>
  <c r="G643" i="18"/>
  <c r="L643" i="18"/>
  <c r="G644" i="18"/>
  <c r="L644" i="18"/>
  <c r="G645" i="18"/>
  <c r="L645" i="18"/>
  <c r="G646" i="18"/>
  <c r="L646" i="18"/>
  <c r="G647" i="18"/>
  <c r="L647" i="18"/>
  <c r="G648" i="18"/>
  <c r="L648" i="18"/>
  <c r="G649" i="18"/>
  <c r="L649" i="18"/>
  <c r="G650" i="18"/>
  <c r="L650" i="18"/>
  <c r="G651" i="18"/>
  <c r="L651" i="18"/>
  <c r="G652" i="18"/>
  <c r="L652" i="18"/>
  <c r="G653" i="18"/>
  <c r="L653" i="18"/>
  <c r="G654" i="18"/>
  <c r="L654" i="18"/>
  <c r="G655" i="18"/>
  <c r="L655" i="18"/>
  <c r="G656" i="18"/>
  <c r="L656" i="18"/>
  <c r="G657" i="18"/>
  <c r="L657" i="18"/>
  <c r="G658" i="18"/>
  <c r="L658" i="18"/>
  <c r="G659" i="18"/>
  <c r="L659" i="18"/>
  <c r="G660" i="18"/>
  <c r="L660" i="18"/>
  <c r="G661" i="18"/>
  <c r="L661" i="18"/>
  <c r="G662" i="18"/>
  <c r="L662" i="18"/>
  <c r="G663" i="18"/>
  <c r="L663" i="18"/>
  <c r="G664" i="18"/>
  <c r="L664" i="18"/>
  <c r="G665" i="18"/>
  <c r="L665" i="18"/>
  <c r="G666" i="18"/>
  <c r="L666" i="18"/>
  <c r="G667" i="18"/>
  <c r="L667" i="18"/>
  <c r="G668" i="18"/>
  <c r="L668" i="18"/>
  <c r="G669" i="18"/>
  <c r="L669" i="18"/>
  <c r="G670" i="18"/>
  <c r="L670" i="18"/>
  <c r="G671" i="18"/>
  <c r="L671" i="18"/>
  <c r="G672" i="18"/>
  <c r="L672" i="18"/>
  <c r="G673" i="18"/>
  <c r="L673" i="18"/>
  <c r="G674" i="18"/>
  <c r="L674" i="18"/>
  <c r="G675" i="18"/>
  <c r="L675" i="18"/>
  <c r="G676" i="18"/>
  <c r="L676" i="18"/>
  <c r="G677" i="18"/>
  <c r="L677" i="18"/>
  <c r="G678" i="18"/>
  <c r="L678" i="18"/>
  <c r="G679" i="18"/>
  <c r="L679" i="18"/>
  <c r="G680" i="18"/>
  <c r="L680" i="18"/>
  <c r="G681" i="18"/>
  <c r="L681" i="18"/>
  <c r="G682" i="18"/>
  <c r="L682" i="18"/>
  <c r="G683" i="18"/>
  <c r="L683" i="18"/>
  <c r="G684" i="18"/>
  <c r="L684" i="18"/>
  <c r="G685" i="18"/>
  <c r="L685" i="18"/>
  <c r="G686" i="18"/>
  <c r="L686" i="18"/>
  <c r="G687" i="18"/>
  <c r="L687" i="18"/>
  <c r="G688" i="18"/>
  <c r="L688" i="18"/>
  <c r="G689" i="18"/>
  <c r="L689" i="18"/>
  <c r="G690" i="18"/>
  <c r="L690" i="18"/>
  <c r="G691" i="18"/>
  <c r="L691" i="18"/>
  <c r="G692" i="18"/>
  <c r="L692" i="18"/>
  <c r="G693" i="18"/>
  <c r="L693" i="18"/>
  <c r="G694" i="18"/>
  <c r="L694" i="18"/>
  <c r="G695" i="18"/>
  <c r="L695" i="18"/>
  <c r="G696" i="18"/>
  <c r="L696" i="18"/>
  <c r="G697" i="18"/>
  <c r="L697" i="18"/>
  <c r="G698" i="18"/>
  <c r="L698" i="18"/>
  <c r="G699" i="18"/>
  <c r="L699" i="18"/>
  <c r="G700" i="18"/>
  <c r="L700" i="18"/>
  <c r="G701" i="18"/>
  <c r="L701" i="18"/>
  <c r="G702" i="18"/>
  <c r="L702" i="18"/>
  <c r="G703" i="18"/>
  <c r="L703" i="18"/>
  <c r="G704" i="18"/>
  <c r="L704" i="18"/>
  <c r="G705" i="18"/>
  <c r="L705" i="18"/>
  <c r="G706" i="18"/>
  <c r="L706" i="18"/>
  <c r="G707" i="18"/>
  <c r="L707" i="18"/>
  <c r="G708" i="18"/>
  <c r="L708" i="18"/>
  <c r="G709" i="18"/>
  <c r="L709" i="18"/>
  <c r="G710" i="18"/>
  <c r="L710" i="18"/>
  <c r="G711" i="18"/>
  <c r="L711" i="18"/>
  <c r="G712" i="18"/>
  <c r="L712" i="18"/>
  <c r="G713" i="18"/>
  <c r="L713" i="18"/>
  <c r="G714" i="18"/>
  <c r="L714" i="18"/>
  <c r="G715" i="18"/>
  <c r="L715" i="18"/>
  <c r="G716" i="18"/>
  <c r="L716" i="18"/>
  <c r="G717" i="18"/>
  <c r="L717" i="18"/>
  <c r="G718" i="18"/>
  <c r="L718" i="18"/>
  <c r="G719" i="18"/>
  <c r="L719" i="18"/>
  <c r="G720" i="18"/>
  <c r="L720" i="18"/>
  <c r="G721" i="18"/>
  <c r="L721" i="18"/>
  <c r="G722" i="18"/>
  <c r="L722" i="18"/>
  <c r="G723" i="18"/>
  <c r="L723" i="18"/>
  <c r="G724" i="18"/>
  <c r="L724" i="18"/>
  <c r="G725" i="18"/>
  <c r="L725" i="18"/>
  <c r="G726" i="18"/>
  <c r="L726" i="18"/>
  <c r="G727" i="18"/>
  <c r="L727" i="18"/>
  <c r="G728" i="18"/>
  <c r="L728" i="18"/>
  <c r="G729" i="18"/>
  <c r="L729" i="18"/>
  <c r="G730" i="18"/>
  <c r="L730" i="18"/>
  <c r="G731" i="18"/>
  <c r="L731" i="18"/>
  <c r="G732" i="18"/>
  <c r="L732" i="18"/>
  <c r="G733" i="18"/>
  <c r="L733" i="18"/>
  <c r="G734" i="18"/>
  <c r="L734" i="18"/>
  <c r="G735" i="18"/>
  <c r="L735" i="18"/>
  <c r="G736" i="18"/>
  <c r="L736" i="18"/>
  <c r="G737" i="18"/>
  <c r="L737" i="18"/>
  <c r="G738" i="18"/>
  <c r="L738" i="18"/>
  <c r="G739" i="18"/>
  <c r="L739" i="18"/>
  <c r="G740" i="18"/>
  <c r="L740" i="18"/>
  <c r="G741" i="18"/>
  <c r="L741" i="18"/>
  <c r="G742" i="18"/>
  <c r="L742" i="18"/>
  <c r="G743" i="18"/>
  <c r="L743" i="18"/>
  <c r="G744" i="18"/>
  <c r="L744" i="18"/>
  <c r="G745" i="18"/>
  <c r="L745" i="18"/>
  <c r="G746" i="18"/>
  <c r="L746" i="18"/>
  <c r="G747" i="18"/>
  <c r="L747" i="18"/>
  <c r="G748" i="18"/>
  <c r="L748" i="18"/>
  <c r="G749" i="18"/>
  <c r="L749" i="18"/>
  <c r="G750" i="18"/>
  <c r="L750" i="18"/>
  <c r="G751" i="18"/>
  <c r="L751" i="18"/>
  <c r="G752" i="18"/>
  <c r="L752" i="18"/>
  <c r="G753" i="18"/>
  <c r="L753" i="18"/>
  <c r="G754" i="18"/>
  <c r="L754" i="18"/>
  <c r="G755" i="18"/>
  <c r="L755" i="18"/>
  <c r="G756" i="18"/>
  <c r="L756" i="18"/>
  <c r="G757" i="18"/>
  <c r="L757" i="18"/>
  <c r="G758" i="18"/>
  <c r="L758" i="18"/>
  <c r="G759" i="18"/>
  <c r="L759" i="18"/>
  <c r="G760" i="18"/>
  <c r="L760" i="18"/>
  <c r="G761" i="18"/>
  <c r="L761" i="18"/>
  <c r="G762" i="18"/>
  <c r="L762" i="18"/>
  <c r="G763" i="18"/>
  <c r="L763" i="18"/>
  <c r="G764" i="18"/>
  <c r="L764" i="18"/>
  <c r="G765" i="18"/>
  <c r="L765" i="18"/>
  <c r="G766" i="18"/>
  <c r="L766" i="18"/>
  <c r="G767" i="18"/>
  <c r="L767" i="18"/>
  <c r="G768" i="18"/>
  <c r="L768" i="18"/>
  <c r="G769" i="18"/>
  <c r="L769" i="18"/>
  <c r="G770" i="18"/>
  <c r="L770" i="18"/>
  <c r="G771" i="18"/>
  <c r="L771" i="18"/>
  <c r="G772" i="18"/>
  <c r="L772" i="18"/>
  <c r="G773" i="18"/>
  <c r="L773" i="18"/>
  <c r="G774" i="18"/>
  <c r="L774" i="18"/>
  <c r="G775" i="18"/>
  <c r="L775" i="18"/>
  <c r="G776" i="18"/>
  <c r="L776" i="18"/>
  <c r="G777" i="18"/>
  <c r="L777" i="18"/>
  <c r="G778" i="18"/>
  <c r="L778" i="18"/>
  <c r="G779" i="18"/>
  <c r="L779" i="18"/>
  <c r="G780" i="18"/>
  <c r="L780" i="18"/>
  <c r="G781" i="18"/>
  <c r="L781" i="18"/>
  <c r="G782" i="18"/>
  <c r="L782" i="18"/>
  <c r="G783" i="18"/>
  <c r="L783" i="18"/>
  <c r="G784" i="18"/>
  <c r="L784" i="18"/>
  <c r="G785" i="18"/>
  <c r="L785" i="18"/>
  <c r="G786" i="18"/>
  <c r="L786" i="18"/>
  <c r="G787" i="18"/>
  <c r="L787" i="18"/>
  <c r="G788" i="18"/>
  <c r="L788" i="18"/>
  <c r="G789" i="18"/>
  <c r="L789" i="18"/>
  <c r="G790" i="18"/>
  <c r="L790" i="18"/>
  <c r="G791" i="18"/>
  <c r="L791" i="18"/>
  <c r="G792" i="18"/>
  <c r="L792" i="18"/>
  <c r="G793" i="18"/>
  <c r="L793" i="18"/>
  <c r="G794" i="18"/>
  <c r="L794" i="18"/>
  <c r="G795" i="18"/>
  <c r="L795" i="18"/>
  <c r="G796" i="18"/>
  <c r="L796" i="18"/>
  <c r="G797" i="18"/>
  <c r="L797" i="18"/>
  <c r="G798" i="18"/>
  <c r="L798" i="18"/>
  <c r="G799" i="18"/>
  <c r="L799" i="18"/>
  <c r="G800" i="18"/>
  <c r="L800" i="18"/>
  <c r="G801" i="18"/>
  <c r="L801" i="18"/>
  <c r="G802" i="18"/>
  <c r="L802" i="18"/>
  <c r="G803" i="18"/>
  <c r="L803" i="18"/>
  <c r="G804" i="18"/>
  <c r="L804" i="18"/>
  <c r="G805" i="18"/>
  <c r="L805" i="18"/>
  <c r="G806" i="18"/>
  <c r="L806" i="18"/>
  <c r="G807" i="18"/>
  <c r="L807" i="18"/>
  <c r="G808" i="18"/>
  <c r="L808" i="18"/>
  <c r="G809" i="18"/>
  <c r="L809" i="18"/>
  <c r="G810" i="18"/>
  <c r="L810" i="18"/>
  <c r="G811" i="18"/>
  <c r="L811" i="18"/>
  <c r="G812" i="18"/>
  <c r="L812" i="18"/>
  <c r="G813" i="18"/>
  <c r="L813" i="18"/>
  <c r="G814" i="18"/>
  <c r="L814" i="18"/>
  <c r="G815" i="18"/>
  <c r="L815" i="18"/>
  <c r="G816" i="18"/>
  <c r="L816" i="18"/>
  <c r="G817" i="18"/>
  <c r="L817" i="18"/>
  <c r="G818" i="18"/>
  <c r="L818" i="18"/>
  <c r="G819" i="18"/>
  <c r="L819" i="18"/>
  <c r="G820" i="18"/>
  <c r="L820" i="18"/>
  <c r="G821" i="18"/>
  <c r="L821" i="18"/>
  <c r="G822" i="18"/>
  <c r="L822" i="18"/>
  <c r="G823" i="18"/>
  <c r="L823" i="18"/>
  <c r="G824" i="18"/>
  <c r="L824" i="18"/>
  <c r="G825" i="18"/>
  <c r="L825" i="18"/>
  <c r="G826" i="18"/>
  <c r="L826" i="18"/>
  <c r="G827" i="18"/>
  <c r="L827" i="18"/>
  <c r="G828" i="18"/>
  <c r="L828" i="18"/>
  <c r="G829" i="18"/>
  <c r="L829" i="18"/>
  <c r="G830" i="18"/>
  <c r="L830" i="18"/>
  <c r="G831" i="18"/>
  <c r="L831" i="18"/>
  <c r="G832" i="18"/>
  <c r="L832" i="18"/>
  <c r="G833" i="18"/>
  <c r="L833" i="18"/>
  <c r="G834" i="18"/>
  <c r="L834" i="18"/>
  <c r="G835" i="18"/>
  <c r="L835" i="18"/>
  <c r="G836" i="18"/>
  <c r="L836" i="18"/>
  <c r="G837" i="18"/>
  <c r="L837" i="18"/>
  <c r="G838" i="18"/>
  <c r="L838" i="18"/>
  <c r="G839" i="18"/>
  <c r="L839" i="18"/>
  <c r="G840" i="18"/>
  <c r="L840" i="18"/>
  <c r="G841" i="18"/>
  <c r="L841" i="18"/>
  <c r="G842" i="18"/>
  <c r="L842" i="18"/>
  <c r="G843" i="18"/>
  <c r="L843" i="18"/>
  <c r="G844" i="18"/>
  <c r="L844" i="18"/>
  <c r="G845" i="18"/>
  <c r="L845" i="18"/>
  <c r="G846" i="18"/>
  <c r="L846" i="18"/>
  <c r="G847" i="18"/>
  <c r="L847" i="18"/>
  <c r="G848" i="18"/>
  <c r="L848" i="18"/>
  <c r="G849" i="18"/>
  <c r="L849" i="18"/>
  <c r="G850" i="18"/>
  <c r="L850" i="18"/>
  <c r="G851" i="18"/>
  <c r="L851" i="18"/>
  <c r="G852" i="18"/>
  <c r="L852" i="18"/>
  <c r="G853" i="18"/>
  <c r="L853" i="18"/>
  <c r="G854" i="18"/>
  <c r="L854" i="18"/>
  <c r="G855" i="18"/>
  <c r="L855" i="18"/>
  <c r="G856" i="18"/>
  <c r="L856" i="18"/>
  <c r="G857" i="18"/>
  <c r="L857" i="18"/>
  <c r="G858" i="18"/>
  <c r="L858" i="18"/>
  <c r="G859" i="18"/>
  <c r="L859" i="18"/>
  <c r="G860" i="18"/>
  <c r="L860" i="18"/>
  <c r="G861" i="18"/>
  <c r="L861" i="18"/>
  <c r="G862" i="18"/>
  <c r="L862" i="18"/>
  <c r="G863" i="18"/>
  <c r="L863" i="18"/>
  <c r="G864" i="18"/>
  <c r="L864" i="18"/>
  <c r="G865" i="18"/>
  <c r="L865" i="18"/>
  <c r="G866" i="18"/>
  <c r="L866" i="18"/>
  <c r="G867" i="18"/>
  <c r="L867" i="18"/>
  <c r="G868" i="18"/>
  <c r="L868" i="18"/>
  <c r="G869" i="18"/>
  <c r="L869" i="18"/>
  <c r="G870" i="18"/>
  <c r="L870" i="18"/>
  <c r="G871" i="18"/>
  <c r="L871" i="18"/>
  <c r="G872" i="18"/>
  <c r="L872" i="18"/>
  <c r="G873" i="18"/>
  <c r="L873" i="18"/>
  <c r="G874" i="18"/>
  <c r="L874" i="18"/>
  <c r="G875" i="18"/>
  <c r="L875" i="18"/>
  <c r="G876" i="18"/>
  <c r="L876" i="18"/>
  <c r="G877" i="18"/>
  <c r="L877" i="18"/>
  <c r="G878" i="18"/>
  <c r="L878" i="18"/>
  <c r="G879" i="18"/>
  <c r="L879" i="18"/>
  <c r="G880" i="18"/>
  <c r="L880" i="18"/>
  <c r="G881" i="18"/>
  <c r="L881" i="18"/>
  <c r="G882" i="18"/>
  <c r="L882" i="18"/>
  <c r="G883" i="18"/>
  <c r="L883" i="18"/>
  <c r="G884" i="18"/>
  <c r="L884" i="18"/>
  <c r="G885" i="18"/>
  <c r="L885" i="18"/>
  <c r="G886" i="18"/>
  <c r="L886" i="18"/>
  <c r="G887" i="18"/>
  <c r="L887" i="18"/>
  <c r="G888" i="18"/>
  <c r="L888" i="18"/>
  <c r="G889" i="18"/>
  <c r="L889" i="18"/>
  <c r="G890" i="18"/>
  <c r="L890" i="18"/>
  <c r="G891" i="18"/>
  <c r="L891" i="18"/>
  <c r="G892" i="18"/>
  <c r="L892" i="18"/>
  <c r="G893" i="18"/>
  <c r="L893" i="18"/>
  <c r="G894" i="18"/>
  <c r="L894" i="18"/>
  <c r="G895" i="18"/>
  <c r="L895" i="18"/>
  <c r="G896" i="18"/>
  <c r="L896" i="18"/>
  <c r="G897" i="18"/>
  <c r="L897" i="18"/>
  <c r="G898" i="18"/>
  <c r="L898" i="18"/>
  <c r="G899" i="18"/>
  <c r="L899" i="18"/>
  <c r="G900" i="18"/>
  <c r="L900" i="18"/>
  <c r="G901" i="18"/>
  <c r="L901" i="18"/>
  <c r="G902" i="18"/>
  <c r="L902" i="18"/>
  <c r="G903" i="18"/>
  <c r="L903" i="18"/>
  <c r="G904" i="18"/>
  <c r="L904" i="18"/>
  <c r="G905" i="18"/>
  <c r="L905" i="18"/>
  <c r="G906" i="18"/>
  <c r="L906" i="18"/>
  <c r="G907" i="18"/>
  <c r="L907" i="18"/>
  <c r="G908" i="18"/>
  <c r="L908" i="18"/>
  <c r="G909" i="18"/>
  <c r="L909" i="18"/>
  <c r="G910" i="18"/>
  <c r="L910" i="18"/>
  <c r="G911" i="18"/>
  <c r="L911" i="18"/>
  <c r="G912" i="18"/>
  <c r="L912" i="18"/>
  <c r="G913" i="18"/>
  <c r="L913" i="18"/>
  <c r="G914" i="18"/>
  <c r="L914" i="18"/>
  <c r="G915" i="18"/>
  <c r="L915" i="18"/>
  <c r="G916" i="18"/>
  <c r="L916" i="18"/>
  <c r="G917" i="18"/>
  <c r="L917" i="18"/>
  <c r="G918" i="18"/>
  <c r="L918" i="18"/>
  <c r="G919" i="18"/>
  <c r="L919" i="18"/>
  <c r="G920" i="18"/>
  <c r="L920" i="18"/>
  <c r="G921" i="18"/>
  <c r="L921" i="18"/>
  <c r="G922" i="18"/>
  <c r="L922" i="18"/>
  <c r="G923" i="18"/>
  <c r="L923" i="18"/>
  <c r="G924" i="18"/>
  <c r="L924" i="18"/>
  <c r="G925" i="18"/>
  <c r="L925" i="18"/>
  <c r="G926" i="18"/>
  <c r="L926" i="18"/>
  <c r="G927" i="18"/>
  <c r="L927" i="18"/>
  <c r="G928" i="18"/>
  <c r="L928" i="18"/>
  <c r="G929" i="18"/>
  <c r="L929" i="18"/>
  <c r="G930" i="18"/>
  <c r="L930" i="18"/>
  <c r="G931" i="18"/>
  <c r="L931" i="18"/>
  <c r="G932" i="18"/>
  <c r="L932" i="18"/>
  <c r="G933" i="18"/>
  <c r="L933" i="18"/>
  <c r="G934" i="18"/>
  <c r="L934" i="18"/>
  <c r="G935" i="18"/>
  <c r="L935" i="18"/>
  <c r="G936" i="18"/>
  <c r="L936" i="18"/>
  <c r="G937" i="18"/>
  <c r="L937" i="18"/>
  <c r="G938" i="18"/>
  <c r="L938" i="18"/>
  <c r="G939" i="18"/>
  <c r="L939" i="18"/>
  <c r="G940" i="18"/>
  <c r="L940" i="18"/>
  <c r="G941" i="18"/>
  <c r="L941" i="18"/>
  <c r="G942" i="18"/>
  <c r="L942" i="18"/>
  <c r="G943" i="18"/>
  <c r="L943" i="18"/>
  <c r="G944" i="18"/>
  <c r="L944" i="18"/>
  <c r="G945" i="18"/>
  <c r="L945" i="18"/>
  <c r="G946" i="18"/>
  <c r="L946" i="18"/>
  <c r="G947" i="18"/>
  <c r="L947" i="18"/>
  <c r="G948" i="18"/>
  <c r="L948" i="18"/>
  <c r="G949" i="18"/>
  <c r="L949" i="18"/>
  <c r="G950" i="18"/>
  <c r="L950" i="18"/>
  <c r="G951" i="18"/>
  <c r="L951" i="18"/>
  <c r="G952" i="18"/>
  <c r="L952" i="18"/>
  <c r="G953" i="18"/>
  <c r="L953" i="18"/>
  <c r="G954" i="18"/>
  <c r="L954" i="18"/>
  <c r="G955" i="18"/>
  <c r="L955" i="18"/>
  <c r="G956" i="18"/>
  <c r="L956" i="18"/>
  <c r="G957" i="18"/>
  <c r="L957" i="18"/>
  <c r="G958" i="18"/>
  <c r="L958" i="18"/>
  <c r="G959" i="18"/>
  <c r="L959" i="18"/>
  <c r="G960" i="18"/>
  <c r="L960" i="18"/>
  <c r="G961" i="18"/>
  <c r="L961" i="18"/>
  <c r="G962" i="18"/>
  <c r="L962" i="18"/>
  <c r="G963" i="18"/>
  <c r="L963" i="18"/>
  <c r="G964" i="18"/>
  <c r="L964" i="18"/>
  <c r="G965" i="18"/>
  <c r="L965" i="18"/>
  <c r="G966" i="18"/>
  <c r="L966" i="18"/>
  <c r="G967" i="18"/>
  <c r="L967" i="18"/>
  <c r="G968" i="18"/>
  <c r="L968" i="18"/>
  <c r="G969" i="18"/>
  <c r="L969" i="18"/>
  <c r="G970" i="18"/>
  <c r="L970" i="18"/>
  <c r="G971" i="18"/>
  <c r="L971" i="18"/>
  <c r="G972" i="18"/>
  <c r="L972" i="18"/>
  <c r="G973" i="18"/>
  <c r="L973" i="18"/>
  <c r="G974" i="18"/>
  <c r="L974" i="18"/>
  <c r="G975" i="18"/>
  <c r="L975" i="18"/>
  <c r="G976" i="18"/>
  <c r="L976" i="18"/>
  <c r="G977" i="18"/>
  <c r="L977" i="18"/>
  <c r="G978" i="18"/>
  <c r="L978" i="18"/>
  <c r="G979" i="18"/>
  <c r="L979" i="18"/>
  <c r="G980" i="18"/>
  <c r="L980" i="18"/>
  <c r="G981" i="18"/>
  <c r="L981" i="18"/>
  <c r="G982" i="18"/>
  <c r="L982" i="18"/>
  <c r="G983" i="18"/>
  <c r="L983" i="18"/>
  <c r="G984" i="18"/>
  <c r="L984" i="18"/>
  <c r="G985" i="18"/>
  <c r="L985" i="18"/>
  <c r="G986" i="18"/>
  <c r="L986" i="18"/>
  <c r="G987" i="18"/>
  <c r="L987" i="18"/>
  <c r="G988" i="18"/>
  <c r="L988" i="18"/>
  <c r="G989" i="18"/>
  <c r="L989" i="18"/>
  <c r="G990" i="18"/>
  <c r="L990" i="18"/>
  <c r="G991" i="18"/>
  <c r="L991" i="18"/>
  <c r="G992" i="18"/>
  <c r="L992" i="18"/>
  <c r="G993" i="18"/>
  <c r="L993" i="18"/>
  <c r="G994" i="18"/>
  <c r="L994" i="18"/>
  <c r="G995" i="18"/>
  <c r="L995" i="18"/>
  <c r="G996" i="18"/>
  <c r="L996" i="18"/>
  <c r="G997" i="18"/>
  <c r="L997" i="18"/>
  <c r="G998" i="18"/>
  <c r="L998" i="18"/>
  <c r="G999" i="18"/>
  <c r="L999" i="18"/>
  <c r="G1000" i="18"/>
  <c r="L1000" i="18"/>
  <c r="G1001" i="18"/>
  <c r="L1001" i="18"/>
  <c r="G1002" i="18"/>
  <c r="L1002" i="18"/>
  <c r="G1003" i="18"/>
  <c r="L1003" i="18"/>
  <c r="G1004" i="18"/>
  <c r="L1004" i="18"/>
  <c r="G1005" i="18"/>
  <c r="L1005" i="18"/>
  <c r="C15" i="18"/>
  <c r="F12" i="18" a="1"/>
  <c r="F11" i="18" a="1"/>
  <c r="F11" i="18" l="1"/>
  <c r="F12" i="18"/>
  <c r="G12" i="18"/>
  <c r="D15" i="18"/>
  <c r="D14" i="18"/>
  <c r="D10" i="18" a="1"/>
  <c r="D10" i="18" s="1"/>
  <c r="D11" i="18" a="1"/>
  <c r="D11" i="18" s="1"/>
  <c r="F10" i="18" a="1"/>
  <c r="C11" i="18"/>
  <c r="C14" i="18"/>
  <c r="C10" i="18"/>
  <c r="C9" i="18" a="1"/>
  <c r="C12" i="18"/>
  <c r="F9" i="18"/>
  <c r="C9" i="18" l="1"/>
  <c r="F10" i="18"/>
  <c r="D12" i="1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<sst xmlns="http://schemas.openxmlformats.org/spreadsheetml/2006/main" count="455" uniqueCount="209">
  <si>
    <t>Sizing estimation for a single Automation</t>
  </si>
  <si>
    <t xml:space="preserve">Instructions: </t>
  </si>
  <si>
    <t xml:space="preserve">1. Determine the complexity of the project by going through the attributes 1 - 5 below </t>
  </si>
  <si>
    <t>3. After all responses have been provided, pre-defined rules will determine the complexity of the project. Refer to cell F19 to confirm project complexity</t>
  </si>
  <si>
    <t xml:space="preserve">4. If your scenario exceeds the parameter given, consult a Tech Lead for separate sizing since additional development hrs might be required. </t>
  </si>
  <si>
    <t>COMPLEXITY ATTRIBUTES</t>
  </si>
  <si>
    <t>S</t>
  </si>
  <si>
    <t>X</t>
  </si>
  <si>
    <t>M</t>
  </si>
  <si>
    <t>L</t>
  </si>
  <si>
    <t>XL</t>
  </si>
  <si>
    <t>Weighting Criteria S</t>
  </si>
  <si>
    <t>Weighting Criteria M</t>
  </si>
  <si>
    <t>Weighting Criteria L</t>
  </si>
  <si>
    <t>Weighting Criteria XL</t>
  </si>
  <si>
    <t>#1</t>
  </si>
  <si>
    <r>
      <rPr>
        <b/>
        <sz val="9"/>
        <color rgb="FF191919"/>
        <rFont val="Arial"/>
        <family val="2"/>
      </rPr>
      <t>Number of activities in the process to be automated is &lt; 10</t>
    </r>
    <r>
      <rPr>
        <sz val="9"/>
        <color rgb="FF191919"/>
        <rFont val="Arial"/>
        <family val="2"/>
      </rPr>
      <t xml:space="preserve">
</t>
    </r>
    <r>
      <rPr>
        <b/>
        <sz val="9"/>
        <color rgb="FF191919"/>
        <rFont val="Arial"/>
        <family val="2"/>
      </rPr>
      <t>Description:</t>
    </r>
    <r>
      <rPr>
        <sz val="9"/>
        <color rgb="FF191919"/>
        <rFont val="Arial"/>
        <family val="2"/>
      </rPr>
      <t xml:space="preserve"> Activity is a piece of work that forms one logical step within a process. That activity could be subdivided into several keystrokes, therefore on average it would contain up to 10 keystrokes. The Activity is done in a single application</t>
    </r>
  </si>
  <si>
    <r>
      <rPr>
        <b/>
        <sz val="9"/>
        <color rgb="FF191919"/>
        <rFont val="Arial"/>
        <family val="2"/>
      </rPr>
      <t xml:space="preserve">Number of activities in the process to be automated is between 11 and 20
</t>
    </r>
    <r>
      <rPr>
        <sz val="9"/>
        <color rgb="FF191919"/>
        <rFont val="Arial"/>
        <family val="2"/>
      </rPr>
      <t xml:space="preserve">
</t>
    </r>
    <r>
      <rPr>
        <b/>
        <sz val="9"/>
        <color rgb="FF191919"/>
        <rFont val="Arial"/>
        <family val="2"/>
      </rPr>
      <t xml:space="preserve">Description: </t>
    </r>
    <r>
      <rPr>
        <sz val="9"/>
        <color rgb="FF191919"/>
        <rFont val="Arial"/>
        <family val="2"/>
      </rPr>
      <t>Activity is a piece of work that forms one logical step within a process. That activity could be subdivided into several keystrokes, therefore on average it would contain up to 10 keystrokes. The Activity is done in a single application</t>
    </r>
  </si>
  <si>
    <r>
      <rPr>
        <b/>
        <sz val="9"/>
        <color rgb="FF191919"/>
        <rFont val="Arial"/>
        <family val="2"/>
      </rPr>
      <t>Number of activities in the process to be automated is between 21 and</t>
    </r>
    <r>
      <rPr>
        <b/>
        <sz val="9"/>
        <color theme="1"/>
        <rFont val="Arial"/>
        <family val="2"/>
      </rPr>
      <t xml:space="preserve"> 40</t>
    </r>
    <r>
      <rPr>
        <b/>
        <sz val="9"/>
        <color rgb="FF191919"/>
        <rFont val="Arial"/>
        <family val="2"/>
      </rPr>
      <t xml:space="preserve">
</t>
    </r>
    <r>
      <rPr>
        <sz val="9"/>
        <color rgb="FF191919"/>
        <rFont val="Arial"/>
        <family val="2"/>
      </rPr>
      <t xml:space="preserve">
</t>
    </r>
    <r>
      <rPr>
        <b/>
        <sz val="9"/>
        <color rgb="FF191919"/>
        <rFont val="Arial"/>
        <family val="2"/>
      </rPr>
      <t>Description:</t>
    </r>
    <r>
      <rPr>
        <sz val="9"/>
        <color rgb="FF191919"/>
        <rFont val="Arial"/>
        <family val="2"/>
      </rPr>
      <t xml:space="preserve"> Activity is a piece of work that forms one logical step within a process. That activity could be subdivided into several keystrokes, therefore on average it would contain up to 10 keystrokes. The Activity is done in a single application</t>
    </r>
  </si>
  <si>
    <r>
      <rPr>
        <b/>
        <sz val="9"/>
        <color rgb="FF191919"/>
        <rFont val="Arial"/>
        <family val="2"/>
      </rPr>
      <t xml:space="preserve">Number of activities in the process to be automated is between </t>
    </r>
    <r>
      <rPr>
        <b/>
        <sz val="9"/>
        <color theme="1"/>
        <rFont val="Arial"/>
        <family val="2"/>
      </rPr>
      <t>4</t>
    </r>
    <r>
      <rPr>
        <b/>
        <sz val="9"/>
        <color rgb="FF191919"/>
        <rFont val="Arial"/>
        <family val="2"/>
      </rPr>
      <t xml:space="preserve">1 and 60
</t>
    </r>
    <r>
      <rPr>
        <sz val="9"/>
        <color rgb="FF191919"/>
        <rFont val="Arial"/>
        <family val="2"/>
      </rPr>
      <t xml:space="preserve">
</t>
    </r>
    <r>
      <rPr>
        <b/>
        <sz val="9"/>
        <color rgb="FF191919"/>
        <rFont val="Arial"/>
        <family val="2"/>
      </rPr>
      <t>Description:</t>
    </r>
    <r>
      <rPr>
        <sz val="9"/>
        <color rgb="FF191919"/>
        <rFont val="Arial"/>
        <family val="2"/>
      </rPr>
      <t>: Activity is a piece of work that forms one logical step within a process. That activity could be subdivided into several keystrokes, therefore on average it would contain up to 10 keystrokes. The Activity is done in a single application</t>
    </r>
  </si>
  <si>
    <t>Equivalence Chart</t>
  </si>
  <si>
    <t>#2</t>
  </si>
  <si>
    <r>
      <rPr>
        <b/>
        <sz val="9"/>
        <color rgb="FF191919"/>
        <rFont val="Arial"/>
        <family val="2"/>
      </rPr>
      <t>Business Rules -  zero business rules which result in a new flow.</t>
    </r>
    <r>
      <rPr>
        <sz val="9"/>
        <color rgb="FF191919"/>
        <rFont val="Arial"/>
        <family val="2"/>
      </rPr>
      <t xml:space="preserve"> 
</t>
    </r>
    <r>
      <rPr>
        <b/>
        <sz val="9"/>
        <color rgb="FF191919"/>
        <rFont val="Arial"/>
        <family val="2"/>
      </rPr>
      <t>Description:</t>
    </r>
    <r>
      <rPr>
        <sz val="9"/>
        <color rgb="FF191919"/>
        <rFont val="Arial"/>
        <family val="2"/>
      </rPr>
      <t xml:space="preserve">  Business Rule which results in creation of additional flow(i.e. go to additional SAP transaction) should contain more than 2 activities. </t>
    </r>
  </si>
  <si>
    <r>
      <rPr>
        <b/>
        <sz val="9"/>
        <color rgb="FF191919"/>
        <rFont val="Arial"/>
        <family val="2"/>
      </rPr>
      <t>Business Rules - 1-2 business rules which result in a new flow.</t>
    </r>
    <r>
      <rPr>
        <sz val="9"/>
        <color rgb="FF191919"/>
        <rFont val="Arial"/>
        <family val="2"/>
      </rPr>
      <t xml:space="preserve"> 
</t>
    </r>
    <r>
      <rPr>
        <b/>
        <sz val="9"/>
        <color rgb="FF191919"/>
        <rFont val="Arial"/>
        <family val="2"/>
      </rPr>
      <t>Description:</t>
    </r>
    <r>
      <rPr>
        <sz val="9"/>
        <color rgb="FF191919"/>
        <rFont val="Arial"/>
        <family val="2"/>
      </rPr>
      <t xml:space="preserve">  Business Rule which results in creation of additional flow(i.e. go to additional SAP transaction) should contain more than 2 activities. </t>
    </r>
  </si>
  <si>
    <r>
      <rPr>
        <b/>
        <sz val="9"/>
        <color rgb="FF191919"/>
        <rFont val="Arial"/>
        <family val="2"/>
      </rPr>
      <t>Business Rules - 3-4 business rules which result in a new flow.</t>
    </r>
    <r>
      <rPr>
        <sz val="9"/>
        <color rgb="FF191919"/>
        <rFont val="Arial"/>
        <family val="2"/>
      </rPr>
      <t xml:space="preserve"> 
</t>
    </r>
    <r>
      <rPr>
        <b/>
        <sz val="9"/>
        <color rgb="FF191919"/>
        <rFont val="Arial"/>
        <family val="2"/>
      </rPr>
      <t>Description:</t>
    </r>
    <r>
      <rPr>
        <sz val="9"/>
        <color rgb="FF191919"/>
        <rFont val="Arial"/>
        <family val="2"/>
      </rPr>
      <t xml:space="preserve">  Business Rule which results in creation of additional flow(i.e. go to additional SAP transaction) should contain more than 2 activities. </t>
    </r>
  </si>
  <si>
    <r>
      <rPr>
        <b/>
        <sz val="9"/>
        <color rgb="FF191919"/>
        <rFont val="Arial"/>
        <family val="2"/>
      </rPr>
      <t>Business Rules - 5-6 business rules which result in a new flow.</t>
    </r>
    <r>
      <rPr>
        <sz val="9"/>
        <color rgb="FF191919"/>
        <rFont val="Arial"/>
        <family val="2"/>
      </rPr>
      <t xml:space="preserve"> 
</t>
    </r>
    <r>
      <rPr>
        <b/>
        <sz val="9"/>
        <color rgb="FF191919"/>
        <rFont val="Arial"/>
        <family val="2"/>
      </rPr>
      <t>Description:</t>
    </r>
    <r>
      <rPr>
        <sz val="9"/>
        <color rgb="FF191919"/>
        <rFont val="Arial"/>
        <family val="2"/>
      </rPr>
      <t xml:space="preserve">  Business Rule which results in creation of additional flow(i.e. go to additional SAP transaction) should contain more than 2 activities. </t>
    </r>
  </si>
  <si>
    <t>#3</t>
  </si>
  <si>
    <r>
      <rPr>
        <b/>
        <sz val="9"/>
        <color rgb="FF191919"/>
        <rFont val="Arial"/>
        <family val="2"/>
      </rPr>
      <t>Number of digital layouts (templates) to be used by RPA is 1</t>
    </r>
    <r>
      <rPr>
        <sz val="9"/>
        <color rgb="FF191919"/>
        <rFont val="Arial"/>
        <family val="2"/>
      </rPr>
      <t xml:space="preserve">
</t>
    </r>
    <r>
      <rPr>
        <b/>
        <sz val="9"/>
        <color rgb="FF191919"/>
        <rFont val="Arial"/>
        <family val="2"/>
      </rPr>
      <t>Description:</t>
    </r>
    <r>
      <rPr>
        <sz val="9"/>
        <color rgb="FF191919"/>
        <rFont val="Arial"/>
        <family val="2"/>
      </rPr>
      <t xml:space="preserve"> Any different input/output file should be treated as separate layouts. This can relate to different digital file extensions (e.g. pdf, xls) or it can be different templates within one file extension (e.g. Month End Reconciliation Report, Approval Matrix)</t>
    </r>
  </si>
  <si>
    <r>
      <rPr>
        <b/>
        <sz val="9"/>
        <color rgb="FF191919"/>
        <rFont val="Arial"/>
        <family val="2"/>
      </rPr>
      <t>Number of digital  layouts (templates) to be used by RPA is 2-3</t>
    </r>
    <r>
      <rPr>
        <sz val="9"/>
        <color rgb="FF191919"/>
        <rFont val="Arial"/>
        <family val="2"/>
      </rPr>
      <t xml:space="preserve">
</t>
    </r>
    <r>
      <rPr>
        <b/>
        <sz val="9"/>
        <color rgb="FF191919"/>
        <rFont val="Arial"/>
        <family val="2"/>
      </rPr>
      <t>Description:</t>
    </r>
    <r>
      <rPr>
        <sz val="9"/>
        <color rgb="FF191919"/>
        <rFont val="Arial"/>
        <family val="2"/>
      </rPr>
      <t xml:space="preserve"> Any different input/output file should be treated as separate layouts. This can relate to different digital file extensions (e.g. pdf, xls) or it can be different templates within one file extension (e.g. Month End Reconciliation Report, Approval Matrix)</t>
    </r>
  </si>
  <si>
    <r>
      <rPr>
        <b/>
        <sz val="9"/>
        <color rgb="FF191919"/>
        <rFont val="Arial"/>
        <family val="2"/>
      </rPr>
      <t>Number of digital layouts (templates) to be used by RPA is 4-6</t>
    </r>
    <r>
      <rPr>
        <sz val="9"/>
        <color rgb="FF191919"/>
        <rFont val="Arial"/>
        <family val="2"/>
      </rPr>
      <t xml:space="preserve">
</t>
    </r>
    <r>
      <rPr>
        <b/>
        <sz val="9"/>
        <color rgb="FF191919"/>
        <rFont val="Arial"/>
        <family val="2"/>
      </rPr>
      <t>Description:</t>
    </r>
    <r>
      <rPr>
        <sz val="9"/>
        <color rgb="FF191919"/>
        <rFont val="Arial"/>
        <family val="2"/>
      </rPr>
      <t>Any different input/output file should be treated as separate layouts. This can relate to different digital file extensions (e.g. pdf, xls) or it can be different templates within one file extension (e.g. Month End Reconciliation Report, Approval Matrix)</t>
    </r>
  </si>
  <si>
    <r>
      <rPr>
        <b/>
        <sz val="9"/>
        <color rgb="FF191919"/>
        <rFont val="Arial"/>
        <family val="2"/>
      </rPr>
      <t>Number of digital layouts (templates) to be used by RPA is 7-10</t>
    </r>
    <r>
      <rPr>
        <sz val="9"/>
        <color rgb="FF191919"/>
        <rFont val="Arial"/>
        <family val="2"/>
      </rPr>
      <t xml:space="preserve">
</t>
    </r>
    <r>
      <rPr>
        <b/>
        <sz val="9"/>
        <color rgb="FF191919"/>
        <rFont val="Arial"/>
        <family val="2"/>
      </rPr>
      <t>Description:</t>
    </r>
    <r>
      <rPr>
        <sz val="9"/>
        <color rgb="FF191919"/>
        <rFont val="Arial"/>
        <family val="2"/>
      </rPr>
      <t xml:space="preserve"> Any different input/output file should be treated as separate layouts. This can relate to different digital file extensions (e.g. pdf, xls) or it can be different templates within one file extension (e.g. Month End Reconciliation Report, Approval Matrix)</t>
    </r>
  </si>
  <si>
    <t>#4</t>
  </si>
  <si>
    <r>
      <rPr>
        <b/>
        <sz val="9"/>
        <color rgb="FF191919"/>
        <rFont val="Arial"/>
        <family val="2"/>
      </rPr>
      <t>Requirement to interface with only 1-2 target applications/interfaces</t>
    </r>
    <r>
      <rPr>
        <sz val="9"/>
        <color rgb="FF191919"/>
        <rFont val="Arial"/>
        <family val="2"/>
      </rPr>
      <t xml:space="preserve">
</t>
    </r>
    <r>
      <rPr>
        <b/>
        <sz val="9"/>
        <color rgb="FF191919"/>
        <rFont val="Arial"/>
        <family val="2"/>
      </rPr>
      <t>Description:</t>
    </r>
    <r>
      <rPr>
        <sz val="9"/>
        <color rgb="FF191919"/>
        <rFont val="Arial"/>
        <family val="2"/>
      </rPr>
      <t xml:space="preserve"> Target application used by the business to perform daily duties, any application/interface should be considered separately, eg SAP, Nakisa, Excel, Outlook</t>
    </r>
  </si>
  <si>
    <r>
      <rPr>
        <b/>
        <sz val="9"/>
        <color rgb="FF191919"/>
        <rFont val="Arial"/>
        <family val="2"/>
      </rPr>
      <t>Requirement to interface with only 3 - 4 target applications/interfaces</t>
    </r>
    <r>
      <rPr>
        <sz val="9"/>
        <color rgb="FF191919"/>
        <rFont val="Arial"/>
        <family val="2"/>
      </rPr>
      <t xml:space="preserve">
</t>
    </r>
    <r>
      <rPr>
        <b/>
        <sz val="9"/>
        <color rgb="FF191919"/>
        <rFont val="Arial"/>
        <family val="2"/>
      </rPr>
      <t xml:space="preserve">Description: </t>
    </r>
    <r>
      <rPr>
        <sz val="9"/>
        <color rgb="FF191919"/>
        <rFont val="Arial"/>
        <family val="2"/>
      </rPr>
      <t>Target application used by the business to perform daily duties, any application/interface should be considered separately, eg SAP, Nakisa, Excel, Outlook</t>
    </r>
  </si>
  <si>
    <r>
      <rPr>
        <b/>
        <sz val="9"/>
        <color rgb="FF191919"/>
        <rFont val="Arial"/>
        <family val="2"/>
      </rPr>
      <t>Requirement to interface with only target 5</t>
    </r>
    <r>
      <rPr>
        <b/>
        <sz val="9"/>
        <color rgb="FFFF0000"/>
        <rFont val="Arial"/>
        <family val="2"/>
      </rPr>
      <t>-</t>
    </r>
    <r>
      <rPr>
        <b/>
        <sz val="9"/>
        <color theme="1"/>
        <rFont val="Arial"/>
        <family val="2"/>
      </rPr>
      <t>6</t>
    </r>
    <r>
      <rPr>
        <b/>
        <sz val="9"/>
        <color rgb="FF191919"/>
        <rFont val="Arial"/>
        <family val="2"/>
      </rPr>
      <t xml:space="preserve"> applications/interfaces</t>
    </r>
    <r>
      <rPr>
        <sz val="9"/>
        <color rgb="FF191919"/>
        <rFont val="Arial"/>
        <family val="2"/>
      </rPr>
      <t xml:space="preserve">
</t>
    </r>
    <r>
      <rPr>
        <b/>
        <sz val="9"/>
        <color rgb="FF191919"/>
        <rFont val="Arial"/>
        <family val="2"/>
      </rPr>
      <t xml:space="preserve">Description: </t>
    </r>
    <r>
      <rPr>
        <sz val="9"/>
        <color rgb="FF191919"/>
        <rFont val="Arial"/>
        <family val="2"/>
      </rPr>
      <t>Target application used by the business to perform daily duties, any application/interface should be considered separately, eg SAP, Nakisa, Excel, Outlook</t>
    </r>
  </si>
  <si>
    <r>
      <rPr>
        <b/>
        <sz val="9"/>
        <color rgb="FF191919"/>
        <rFont val="Arial"/>
        <family val="2"/>
      </rPr>
      <t xml:space="preserve">Requirement to interface with only target </t>
    </r>
    <r>
      <rPr>
        <b/>
        <sz val="9"/>
        <color theme="1"/>
        <rFont val="Arial"/>
        <family val="2"/>
      </rPr>
      <t>7-8</t>
    </r>
    <r>
      <rPr>
        <b/>
        <sz val="9"/>
        <color rgb="FF191919"/>
        <rFont val="Arial"/>
        <family val="2"/>
      </rPr>
      <t xml:space="preserve"> applications/interfaces</t>
    </r>
    <r>
      <rPr>
        <sz val="9"/>
        <color rgb="FF191919"/>
        <rFont val="Arial"/>
        <family val="2"/>
      </rPr>
      <t xml:space="preserve">
</t>
    </r>
    <r>
      <rPr>
        <b/>
        <sz val="9"/>
        <color rgb="FF191919"/>
        <rFont val="Arial"/>
        <family val="2"/>
      </rPr>
      <t xml:space="preserve">Description: </t>
    </r>
    <r>
      <rPr>
        <sz val="9"/>
        <color rgb="FF191919"/>
        <rFont val="Arial"/>
        <family val="2"/>
      </rPr>
      <t>Target application used by the business to perform daily duties, any application/interface should be considered separately, eg SAP, Nakisa, Excel, Outlook</t>
    </r>
  </si>
  <si>
    <t>#5</t>
  </si>
  <si>
    <r>
      <rPr>
        <b/>
        <sz val="9"/>
        <rFont val="Arial"/>
        <family val="2"/>
      </rPr>
      <t>Additional Technology in scope - none</t>
    </r>
    <r>
      <rPr>
        <sz val="9"/>
        <rFont val="Arial"/>
        <family val="2"/>
      </rPr>
      <t xml:space="preserve">
</t>
    </r>
    <r>
      <rPr>
        <b/>
        <sz val="9"/>
        <rFont val="Arial"/>
        <family val="2"/>
      </rPr>
      <t xml:space="preserve">Description: </t>
    </r>
    <r>
      <rPr>
        <sz val="9"/>
        <rFont val="Arial"/>
        <family val="2"/>
      </rPr>
      <t>Requirement of surface automation/Citrix, web services or API to be developed. 
**If there is a need to integrate already existing Python/VBA macros into the RPA solution(e.g. include/adjust already created macro into Blue Prism code stage or develop Python/VBA macros outside of RPA solution - like VBA Macro to validate input file)  it should be considered as additional technology in scope</t>
    </r>
  </si>
  <si>
    <r>
      <rPr>
        <b/>
        <sz val="9"/>
        <rFont val="Arial"/>
        <family val="2"/>
      </rPr>
      <t>Additional Technology in scope - 1</t>
    </r>
    <r>
      <rPr>
        <sz val="9"/>
        <rFont val="Arial"/>
        <family val="2"/>
      </rPr>
      <t xml:space="preserve">
</t>
    </r>
    <r>
      <rPr>
        <b/>
        <sz val="9"/>
        <rFont val="Arial"/>
        <family val="2"/>
      </rPr>
      <t xml:space="preserve">Description: </t>
    </r>
    <r>
      <rPr>
        <sz val="9"/>
        <rFont val="Arial"/>
        <family val="2"/>
      </rPr>
      <t xml:space="preserve">Requirement of surface automation/Citrix, web services or API to be developed. 
**If there is a need to integrate already existing Python/VBA macros into the RPA solution(e.g. include/adjust already created macro into Blue Prism code stage or develop Python/VBA macros outside of RPA solution - like VBA Macro to validate input file)  it should be considered as additional technology in scope
</t>
    </r>
  </si>
  <si>
    <r>
      <rPr>
        <b/>
        <sz val="9"/>
        <rFont val="Arial"/>
        <family val="2"/>
      </rPr>
      <t>Additional Technology in scope - 2-3</t>
    </r>
    <r>
      <rPr>
        <sz val="9"/>
        <rFont val="Arial"/>
        <family val="2"/>
      </rPr>
      <t xml:space="preserve">
</t>
    </r>
    <r>
      <rPr>
        <b/>
        <sz val="9"/>
        <rFont val="Arial"/>
        <family val="2"/>
      </rPr>
      <t xml:space="preserve">Description: </t>
    </r>
    <r>
      <rPr>
        <sz val="9"/>
        <rFont val="Arial"/>
        <family val="2"/>
      </rPr>
      <t xml:space="preserve">Requirement of surface automation/Citrix, web services or API to be developed. 
*If there is a need to integrate already existing Python/VBA macros into the RPA solution(e.g. include/adjust already created macro into Blue Prism code stage or develop Python/VBA macros outside of RPA solution - like VBA Macro to validate input file)  it should be considered as additional technology in scope
</t>
    </r>
  </si>
  <si>
    <r>
      <rPr>
        <b/>
        <sz val="9"/>
        <rFont val="Arial"/>
        <family val="2"/>
      </rPr>
      <t>Additional Technology in scope - 4-5</t>
    </r>
    <r>
      <rPr>
        <sz val="9"/>
        <rFont val="Arial"/>
        <family val="2"/>
      </rPr>
      <t xml:space="preserve">
</t>
    </r>
    <r>
      <rPr>
        <b/>
        <sz val="9"/>
        <rFont val="Arial"/>
        <family val="2"/>
      </rPr>
      <t xml:space="preserve">Description: </t>
    </r>
    <r>
      <rPr>
        <sz val="9"/>
        <rFont val="Arial"/>
        <family val="2"/>
      </rPr>
      <t>Requirement of surface automation/Citrix, web services or API to be developed. 
*If there is a need to integrate already existing Python/VBA macros into the RPA solution(e.g. include/adjust already created macro into Blue Prism code stage or develop Python/VBA macros outside of RPA solution - like VBA Macro to validate input file)  it should be considered as additional technology in scope</t>
    </r>
  </si>
  <si>
    <t>Score</t>
  </si>
  <si>
    <t>Project Classification</t>
  </si>
  <si>
    <t>Steps</t>
  </si>
  <si>
    <t>Business Rules</t>
  </si>
  <si>
    <t>PROJECT TITLE</t>
  </si>
  <si>
    <t>EXPOSURE</t>
  </si>
  <si>
    <t>SQUAD</t>
  </si>
  <si>
    <t>BUSINESS ANALYST</t>
  </si>
  <si>
    <t>IRENA SCHNOBER</t>
  </si>
  <si>
    <t>DEVELOPER</t>
  </si>
  <si>
    <t>HEMALATHA POLASANI</t>
  </si>
  <si>
    <t>SP [TASKS COUNT]</t>
  </si>
  <si>
    <t>TOTAL SP</t>
  </si>
  <si>
    <t>SP COMPLETION</t>
  </si>
  <si>
    <t>COMPLETED</t>
  </si>
  <si>
    <t>APPROVED</t>
  </si>
  <si>
    <t>IN RPOGRESS</t>
  </si>
  <si>
    <t>REJECTED</t>
  </si>
  <si>
    <t>NOT STARTED</t>
  </si>
  <si>
    <t>PENDING</t>
  </si>
  <si>
    <t>MUST</t>
  </si>
  <si>
    <t>SHOULD</t>
  </si>
  <si>
    <t xml:space="preserve">1 hour = </t>
  </si>
  <si>
    <t>points</t>
  </si>
  <si>
    <t xml:space="preserve">FEATURE </t>
  </si>
  <si>
    <t>SCOPE</t>
  </si>
  <si>
    <t>ACCEPTANCE STATUS</t>
  </si>
  <si>
    <t>Start date</t>
  </si>
  <si>
    <t>End date</t>
  </si>
  <si>
    <t>SP</t>
  </si>
  <si>
    <t>Hours</t>
  </si>
  <si>
    <t>Developer</t>
  </si>
  <si>
    <t>PRIORITY</t>
  </si>
  <si>
    <t>COMPLETION %</t>
  </si>
  <si>
    <t>DEVELOPMENT STATUS</t>
  </si>
  <si>
    <t>REVIEWER</t>
  </si>
  <si>
    <t>PEER REVIEW STATUS</t>
  </si>
  <si>
    <t>REMARKS</t>
  </si>
  <si>
    <t xml:space="preserve">Main Page </t>
  </si>
  <si>
    <t>ORIGINAL</t>
  </si>
  <si>
    <t>Business demo</t>
  </si>
  <si>
    <t>Total</t>
  </si>
  <si>
    <t>Additional Technology in scope</t>
  </si>
  <si>
    <t>4-6</t>
  </si>
  <si>
    <t>CSV objects + csv signatories</t>
  </si>
  <si>
    <t>Schema file</t>
  </si>
  <si>
    <t>Input template: Delete object</t>
  </si>
  <si>
    <t>Input template: Simple mass change</t>
  </si>
  <si>
    <t>Input template: Modify</t>
  </si>
  <si>
    <r>
      <rPr>
        <b/>
        <sz val="11"/>
        <color theme="1"/>
        <rFont val="Calibri"/>
        <family val="2"/>
        <scheme val="minor"/>
      </rPr>
      <t>Layouts:</t>
    </r>
    <r>
      <rPr>
        <sz val="11"/>
        <color theme="1"/>
        <rFont val="Calibri"/>
        <family val="2"/>
        <scheme val="minor"/>
      </rPr>
      <t xml:space="preserve"> </t>
    </r>
  </si>
  <si>
    <t>6</t>
  </si>
  <si>
    <t>Delete object</t>
  </si>
  <si>
    <t>Remove signatory</t>
  </si>
  <si>
    <t>Replace object owner</t>
  </si>
  <si>
    <t>Replace signatory/Owner &amp; signatory / Copy ASM access</t>
  </si>
  <si>
    <t>Change approval rights &amp;  Add signatory / Change limit / limit &amp; rights</t>
  </si>
  <si>
    <t>Change description</t>
  </si>
  <si>
    <t>(Sheet "Steps")</t>
  </si>
  <si>
    <t>GMP, Excel</t>
  </si>
  <si>
    <r>
      <rPr>
        <b/>
        <sz val="12"/>
        <color theme="1"/>
        <rFont val="Calibri"/>
        <family val="2"/>
        <scheme val="minor"/>
      </rPr>
      <t>Applications:</t>
    </r>
    <r>
      <rPr>
        <sz val="11"/>
        <color theme="1"/>
        <rFont val="Calibri"/>
        <family val="2"/>
        <scheme val="minor"/>
      </rPr>
      <t xml:space="preserve"> </t>
    </r>
  </si>
  <si>
    <t>Macro for validation</t>
  </si>
  <si>
    <t>2 - 4</t>
  </si>
  <si>
    <t>2-weeks spritns</t>
  </si>
  <si>
    <t>20 - 40</t>
  </si>
  <si>
    <t>Total days</t>
  </si>
  <si>
    <t>2 - 5</t>
  </si>
  <si>
    <t>Deploy *</t>
  </si>
  <si>
    <t>3 - 5</t>
  </si>
  <si>
    <t>UAT *</t>
  </si>
  <si>
    <t>8 - 15</t>
  </si>
  <si>
    <t>Design &amp; Build</t>
  </si>
  <si>
    <t>7 - 15</t>
  </si>
  <si>
    <t>Define *</t>
  </si>
  <si>
    <t>XS</t>
  </si>
  <si>
    <t>Phase</t>
  </si>
  <si>
    <t>Actual timeline of the output delivery (per the phase) depends on the availability of the respective resources on PMI side (Business representatives)</t>
  </si>
  <si>
    <t>* Estimation of the effort needed from BA/Developer side to complete all the required activities in the relevant phase</t>
  </si>
  <si>
    <t>Effort estimates in days from Define to Deploy</t>
  </si>
  <si>
    <r>
      <t xml:space="preserve">XS
</t>
    </r>
    <r>
      <rPr>
        <sz val="8"/>
        <color theme="1"/>
        <rFont val="Calibri"/>
        <family val="2"/>
        <scheme val="minor"/>
      </rPr>
      <t>to be used for corrections on existing automations or for small scale automations (RDA, macros, etc.)
no more than 2 parameters from below list can be selected for XS size</t>
    </r>
  </si>
  <si>
    <t xml:space="preserve">2. Select the appropriate response from the XS, S, M, L and XL quadrants. Only one X per row is allowed. </t>
  </si>
  <si>
    <t>TOTAL</t>
  </si>
  <si>
    <t>Next modification request in template?</t>
  </si>
  <si>
    <t>Any removal successful?</t>
  </si>
  <si>
    <t>Partial reusability</t>
  </si>
  <si>
    <t>Filter on successfully changed items</t>
  </si>
  <si>
    <t>Check which update was not successful</t>
  </si>
  <si>
    <t>Reusability</t>
  </si>
  <si>
    <t>Download CSV file for object and signatory</t>
  </si>
  <si>
    <t>Go to t-code ZDIASMDIA, find object to be updated</t>
  </si>
  <si>
    <t>Update processing status for request in template</t>
  </si>
  <si>
    <t>Activate</t>
  </si>
  <si>
    <t>Removal fully successful</t>
  </si>
  <si>
    <t>Process Remove action</t>
  </si>
  <si>
    <t>various parameters based on action</t>
  </si>
  <si>
    <t>Enter mass change t-code and provide proper parameters</t>
  </si>
  <si>
    <t>Read status for signatories upload</t>
  </si>
  <si>
    <t>Upload csv file signatories</t>
  </si>
  <si>
    <t>Update csv file for signatory</t>
  </si>
  <si>
    <t>PO owner flag needs to be updated?</t>
  </si>
  <si>
    <t>By each acion type the same step name will require different checks</t>
  </si>
  <si>
    <t>Verify and adjust "PO owner" flag for signatory</t>
  </si>
  <si>
    <t>Check if user is not object owner as well</t>
  </si>
  <si>
    <t>Upload for signatories required?</t>
  </si>
  <si>
    <t>Read status for object upload</t>
  </si>
  <si>
    <t>Upload csv file object</t>
  </si>
  <si>
    <t>Update processing status for incorrect request</t>
  </si>
  <si>
    <t>Signatory exists in structure?</t>
  </si>
  <si>
    <t>Update for signatory limit &amp; rights required?</t>
  </si>
  <si>
    <t>Update csv file for object and save</t>
  </si>
  <si>
    <t>Type of change required</t>
  </si>
  <si>
    <t>Update processing status for failed items</t>
  </si>
  <si>
    <t>Any replacement unsuccessful?</t>
  </si>
  <si>
    <t>Process replacement action</t>
  </si>
  <si>
    <t>Confirm correctness of new signatory level</t>
  </si>
  <si>
    <t>Confirm if approver assigned according to schema</t>
  </si>
  <si>
    <t>Check if new user should have the same level and rigts</t>
  </si>
  <si>
    <t>Verify approver hierarchical layer</t>
  </si>
  <si>
    <t>Reusability from creation</t>
  </si>
  <si>
    <t>Partial reusability from creation</t>
  </si>
  <si>
    <t>Various update needed for each from 4 action requested</t>
  </si>
  <si>
    <t>Update signatories csv file</t>
  </si>
  <si>
    <t>Update object file with new description</t>
  </si>
  <si>
    <t>Download CSV file for object</t>
  </si>
  <si>
    <t>Change descr</t>
  </si>
  <si>
    <t>Type: Remove signatory</t>
  </si>
  <si>
    <t>Type: Replace object owner</t>
  </si>
  <si>
    <t>Type: Replace signatory/Owner &amp; signatory / Copy ASM access</t>
  </si>
  <si>
    <t>Type of request: Add signatory / Change limit / limit &amp; rights</t>
  </si>
  <si>
    <t>Type of request: Change approval rights</t>
  </si>
  <si>
    <t>Type of request: Change description</t>
  </si>
  <si>
    <t>Recognize and take first/next request for processing</t>
  </si>
  <si>
    <t>Search for modification request in template</t>
  </si>
  <si>
    <t>Comment about reusability</t>
  </si>
  <si>
    <t>Step weight</t>
  </si>
  <si>
    <t>Step description</t>
  </si>
  <si>
    <t>Modify</t>
  </si>
  <si>
    <t>MASTER DATA</t>
  </si>
  <si>
    <t xml:space="preserve">Modify ASM Intial check and action Change Description </t>
  </si>
  <si>
    <t>Add Signatory action and verify and adjust PO owner flag</t>
  </si>
  <si>
    <t>Change Approval Rights</t>
  </si>
  <si>
    <t>Change Approval Limit</t>
  </si>
  <si>
    <t>Change Approver limit and rights</t>
  </si>
  <si>
    <t xml:space="preserve">Replace Signatory : 3. Confirm correctness of new signatory level vs old one              </t>
  </si>
  <si>
    <t>Object Creation : SAP t-code ZDIASMMASS</t>
  </si>
  <si>
    <t>Integrating all new steps with resuable steps for replace signatory</t>
  </si>
  <si>
    <t>Replace object owner and signatory</t>
  </si>
  <si>
    <t>Replace object owner with existing signatory</t>
  </si>
  <si>
    <t>Remove Signatory</t>
  </si>
  <si>
    <t>Copy ASM access from existing signatory</t>
  </si>
  <si>
    <t>Remove Signatory : 1. Process remove action</t>
  </si>
  <si>
    <t>1. Verify and adjust “PO owner flag” for signatory and 2. Check if remove action was successful for all objects</t>
  </si>
  <si>
    <t>Delete Object and Grouped objects</t>
  </si>
  <si>
    <t>Process Finalisation and Exception handling</t>
  </si>
  <si>
    <t>Hemalatha Polasani</t>
  </si>
  <si>
    <t xml:space="preserve">Replace Signatory : 1.check if signatory is not object owner as well and 2.check if signatory should be changed for limit                        </t>
  </si>
  <si>
    <t>Import code to SBX and bug fixes</t>
  </si>
  <si>
    <t>Simple Mass Change Initial Check and Replace Signatory : 1. Check if replacement was successful for all objects</t>
  </si>
  <si>
    <t>Replace object owner with existing signatory :  1. Check if new object owner exists in ASM structure</t>
  </si>
  <si>
    <t>1. Process Copy action and 2. Check if copy action was successful for all objects</t>
  </si>
  <si>
    <t>Modify Object : SAP t-code ZDIASMDIA and ZDIASMUPL</t>
  </si>
  <si>
    <t>Replace Signatory: 4. Process replacement action and Integrate object with process and 5. Update to new signatory limit/rights required?</t>
  </si>
  <si>
    <t>SBX testing analysing issues and fixing them</t>
  </si>
  <si>
    <t>Waiting for test data</t>
  </si>
  <si>
    <t>Delayed as per client availability</t>
  </si>
  <si>
    <t>IN PROGRESS</t>
  </si>
  <si>
    <t>Delayed as taken sick leave</t>
  </si>
  <si>
    <t>Delay</t>
  </si>
  <si>
    <t>Holiday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</si>
</sst>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yyyy;@"/>
    <numFmt numFmtId="165" formatCode="[$-409]d\-mmm\-yyyy;@"/>
    <numFmt numFmtId="166" formatCode="0.0"/>
    <numFmt numFmtId="167" formatCode="_ * #,##0.00_)\ _P_L_N_ ;_ * \(#,##0.00\)\ _P_L_N_ ;_ * &quot;-&quot;??_)\ _P_L_N_ ;_ @_ "/>
  </numFmts>
  <fonts count="56">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8"/>
      <color theme="1"/>
      <name val="Calibri"/>
      <family val="2"/>
      <scheme val="minor"/>
    </font>
    <font>
      <i/>
      <sz val="11"/>
      <color theme="4" tint="-0.499984740745262"/>
      <name val="Calibri Light"/>
      <family val="1"/>
      <scheme val="major"/>
    </font>
    <font>
      <i/>
      <sz val="11"/>
      <color rgb="FF0432FF"/>
      <name val="Calibri"/>
      <family val="2"/>
      <scheme val="minor"/>
    </font>
    <font>
      <b/>
      <sz val="9"/>
      <name val="Arial"/>
      <family val="2"/>
    </font>
    <font>
      <b/>
      <i/>
      <sz val="11"/>
      <color theme="1"/>
      <name val="Calibri"/>
      <family val="2"/>
      <scheme val="minor"/>
    </font>
    <font>
      <sz val="9"/>
      <color rgb="FF191919"/>
      <name val="Arial"/>
      <family val="2"/>
    </font>
    <font>
      <sz val="11"/>
      <color theme="1"/>
      <name val="Arial"/>
      <family val="2"/>
    </font>
    <font>
      <b/>
      <i/>
      <sz val="11"/>
      <name val="Calibri"/>
      <family val="2"/>
      <scheme val="minor"/>
    </font>
    <font>
      <sz val="9"/>
      <name val="Arial"/>
      <family val="2"/>
    </font>
    <font>
      <b/>
      <sz val="9"/>
      <color rgb="FF191919"/>
      <name val="Arial"/>
      <family val="2"/>
    </font>
    <font>
      <b/>
      <sz val="12"/>
      <color theme="1"/>
      <name val="Arial"/>
      <family val="2"/>
    </font>
    <font>
      <b/>
      <i/>
      <sz val="10"/>
      <color theme="4" tint="-0.499984740745262"/>
      <name val="Arial"/>
      <family val="2"/>
    </font>
    <font>
      <b/>
      <i/>
      <sz val="18"/>
      <color theme="0"/>
      <name val="Arial"/>
      <family val="2"/>
    </font>
    <font>
      <sz val="12"/>
      <color theme="1"/>
      <name val="Arial"/>
      <family val="2"/>
    </font>
    <font>
      <sz val="9"/>
      <color theme="0"/>
      <name val="Calibri"/>
      <family val="2"/>
      <scheme val="minor"/>
    </font>
    <font>
      <b/>
      <i/>
      <sz val="9"/>
      <color theme="1"/>
      <name val="Calibri"/>
      <family val="2"/>
      <scheme val="minor"/>
    </font>
    <font>
      <b/>
      <sz val="9"/>
      <color theme="1"/>
      <name val="Calibri"/>
      <family val="2"/>
      <scheme val="minor"/>
    </font>
    <font>
      <sz val="9"/>
      <color theme="1"/>
      <name val="Calibri"/>
      <family val="2"/>
      <scheme val="minor"/>
    </font>
    <font>
      <sz val="9"/>
      <name val="Calibri"/>
      <family val="2"/>
      <scheme val="minor"/>
    </font>
    <font>
      <b/>
      <i/>
      <sz val="9"/>
      <name val="Calibri"/>
      <family val="2"/>
      <scheme val="minor"/>
    </font>
    <font>
      <b/>
      <sz val="9"/>
      <name val="Calibri"/>
      <family val="2"/>
      <scheme val="minor"/>
    </font>
    <font>
      <b/>
      <sz val="12"/>
      <color theme="1"/>
      <name val="Calibri"/>
      <family val="2"/>
      <scheme val="minor"/>
    </font>
    <font>
      <sz val="12"/>
      <color theme="1"/>
      <name val="Calibri"/>
      <family val="2"/>
      <scheme val="minor"/>
    </font>
    <font>
      <b/>
      <sz val="9"/>
      <color rgb="FFFF0000"/>
      <name val="Arial"/>
      <family val="2"/>
    </font>
    <font>
      <b/>
      <sz val="9"/>
      <color theme="1"/>
      <name val="Arial"/>
      <family val="2"/>
    </font>
    <font>
      <b/>
      <sz val="14"/>
      <color theme="4" tint="-0.499984740745262"/>
      <name val="Arial"/>
      <family val="2"/>
    </font>
    <font>
      <b/>
      <sz val="10"/>
      <color theme="4" tint="-0.499984740745262"/>
      <name val="Arial"/>
      <family val="2"/>
    </font>
    <font>
      <sz val="11"/>
      <color theme="1"/>
      <name val="Calibri"/>
      <family val="2"/>
      <charset val="238"/>
      <scheme val="minor"/>
    </font>
    <font>
      <sz val="14"/>
      <color theme="1"/>
      <name val="Calibri"/>
      <family val="2"/>
      <scheme val="minor"/>
    </font>
    <font>
      <sz val="14"/>
      <color theme="0"/>
      <name val="Calibri"/>
      <family val="2"/>
      <scheme val="minor"/>
    </font>
    <font>
      <sz val="12"/>
      <name val="Calibri"/>
      <family val="2"/>
      <scheme val="minor"/>
    </font>
    <font>
      <b/>
      <sz val="14"/>
      <color theme="0"/>
      <name val="Calibri (Body)_x0000_"/>
      <charset val="238"/>
    </font>
    <font>
      <b/>
      <sz val="14"/>
      <name val="Calibri (Body)_x0000_"/>
      <charset val="238"/>
    </font>
    <font>
      <b/>
      <sz val="14"/>
      <name val="Calibri"/>
      <family val="2"/>
      <scheme val="minor"/>
    </font>
    <font>
      <sz val="12"/>
      <color theme="1"/>
      <name val="Calibri"/>
      <family val="2"/>
      <charset val="238"/>
      <scheme val="minor"/>
    </font>
    <font>
      <sz val="14"/>
      <color theme="0"/>
      <name val="Calibri (Body)_x0000_"/>
      <charset val="238"/>
    </font>
    <font>
      <sz val="11"/>
      <color rgb="FFFF0000"/>
      <name val="Calibri"/>
      <family val="2"/>
      <scheme val="minor"/>
    </font>
    <font>
      <sz val="11"/>
      <name val="Calibri"/>
      <family val="2"/>
      <scheme val="minor"/>
    </font>
    <font>
      <b/>
      <u/>
      <sz val="11"/>
      <color theme="1"/>
      <name val="Calibri"/>
      <family val="2"/>
      <scheme val="minor"/>
    </font>
    <font>
      <i/>
      <sz val="11"/>
      <color theme="1"/>
      <name val="Calibri"/>
      <family val="2"/>
      <scheme val="minor"/>
    </font>
    <font>
      <u/>
      <sz val="11"/>
      <color theme="1"/>
      <name val="Calibri"/>
      <family val="2"/>
      <scheme val="minor"/>
    </font>
    <font>
      <sz val="11"/>
      <color rgb="FF0432FF"/>
      <name val="Calibri"/>
      <family val="2"/>
      <scheme val="minor"/>
    </font>
    <font>
      <sz val="8"/>
      <color rgb="FFFF0000"/>
      <name val="Calibri"/>
      <family val="2"/>
      <scheme val="minor"/>
    </font>
    <font>
      <sz val="11"/>
      <color rgb="FFFF0000"/>
      <name val="Arial"/>
      <family val="2"/>
    </font>
    <font>
      <sz val="9"/>
      <color rgb="FFFF0000"/>
      <name val="Arial"/>
      <family val="2"/>
    </font>
    <font>
      <b/>
      <i/>
      <sz val="11"/>
      <color rgb="FFFF0000"/>
      <name val="Calibri"/>
      <family val="2"/>
      <scheme val="minor"/>
    </font>
    <font>
      <sz val="11"/>
      <color rgb="FF0070C0"/>
      <name val="Calibri"/>
      <family val="2"/>
      <scheme val="minor"/>
    </font>
    <font>
      <b/>
      <sz val="11"/>
      <color rgb="FF0070C0"/>
      <name val="Calibri"/>
      <family val="2"/>
      <scheme val="minor"/>
    </font>
    <font>
      <b/>
      <sz val="11"/>
      <name val="Calibri"/>
      <family val="2"/>
      <scheme val="minor"/>
    </font>
    <font>
      <sz val="11"/>
      <color theme="1"/>
      <name val="Calibri"/>
      <family val="2"/>
      <charset val="204"/>
      <scheme val="minor"/>
    </font>
    <font>
      <sz val="11"/>
      <color theme="1"/>
      <name val="Calibri"/>
      <scheme val="minor"/>
    </font>
    <font>
      <b/>
      <sz val="11"/>
      <color theme="1"/>
      <name val="Calibri"/>
      <family val="2"/>
      <charset val="204"/>
      <scheme val="minor"/>
    </font>
  </fonts>
  <fills count="20">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7"/>
        <bgColor indexed="64"/>
      </patternFill>
    </fill>
    <fill>
      <patternFill patternType="solid">
        <fgColor theme="8"/>
        <bgColor indexed="64"/>
      </patternFill>
    </fill>
    <fill>
      <patternFill patternType="solid">
        <fgColor theme="0" tint="-4.9989318521683403E-2"/>
        <bgColor indexed="64"/>
      </patternFill>
    </fill>
    <fill>
      <patternFill patternType="solid">
        <fgColor theme="1"/>
        <bgColor indexed="64"/>
      </patternFill>
    </fill>
    <fill>
      <patternFill patternType="solid">
        <fgColor rgb="FFFF0000"/>
        <bgColor indexed="64"/>
      </patternFill>
    </fill>
    <fill>
      <patternFill patternType="solid">
        <fgColor rgb="FF7030A0"/>
        <bgColor indexed="64"/>
      </patternFill>
    </fill>
    <fill>
      <patternFill patternType="solid">
        <fgColor theme="5" tint="0.79998168889431442"/>
        <bgColor indexed="64"/>
      </patternFill>
    </fill>
    <fill>
      <patternFill patternType="solid">
        <fgColor theme="0" tint="-4.9989318521683403E-2"/>
        <bgColor theme="4" tint="0.79998168889431442"/>
      </patternFill>
    </fill>
    <fill>
      <patternFill patternType="solid">
        <fgColor rgb="FF5B9BD5"/>
        <bgColor indexed="64"/>
      </patternFill>
    </fill>
    <fill>
      <patternFill patternType="solid">
        <fgColor rgb="FFFFE07F"/>
        <bgColor indexed="64"/>
      </patternFill>
    </fill>
    <fill>
      <patternFill patternType="solid">
        <fgColor rgb="FFFF7F82"/>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rgb="FFBDEF88"/>
        <bgColor indexed="64"/>
      </patternFill>
    </fill>
    <fill>
      <patternFill patternType="solid">
        <fgColor theme="0" tint="-0.14999847407452621"/>
        <bgColor theme="4" tint="0.79998168889431442"/>
      </patternFill>
    </fill>
    <fill>
      <patternFill patternType="solid">
        <fgColor rgb="FF92D050"/>
        <bgColor indexed="64"/>
      </patternFill>
    </fill>
  </fills>
  <borders count="51">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theme="1"/>
      </left>
      <right style="thin">
        <color theme="1"/>
      </right>
      <top style="thin">
        <color theme="1"/>
      </top>
      <bottom style="thin">
        <color theme="1"/>
      </bottom>
      <diagonal/>
    </border>
    <border>
      <left style="medium">
        <color auto="1"/>
      </left>
      <right style="medium">
        <color auto="1"/>
      </right>
      <top/>
      <bottom style="medium">
        <color auto="1"/>
      </bottom>
      <diagonal/>
    </border>
    <border>
      <left style="hair">
        <color theme="1"/>
      </left>
      <right/>
      <top style="hair">
        <color theme="1"/>
      </top>
      <bottom style="hair">
        <color theme="1"/>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auto="1"/>
      </left>
      <right/>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medium">
        <color auto="1"/>
      </left>
      <right/>
      <top style="medium">
        <color indexed="64"/>
      </top>
      <bottom style="thin">
        <color auto="1"/>
      </bottom>
      <diagonal/>
    </border>
    <border>
      <left/>
      <right/>
      <top style="medium">
        <color indexed="64"/>
      </top>
      <bottom style="thin">
        <color auto="1"/>
      </bottom>
      <diagonal/>
    </border>
    <border>
      <left/>
      <right/>
      <top/>
      <bottom style="medium">
        <color indexed="64"/>
      </bottom>
      <diagonal/>
    </border>
    <border>
      <left style="medium">
        <color indexed="64"/>
      </left>
      <right/>
      <top style="thin">
        <color auto="1"/>
      </top>
      <bottom style="medium">
        <color indexed="64"/>
      </bottom>
      <diagonal/>
    </border>
    <border>
      <left style="medium">
        <color auto="1"/>
      </left>
      <right style="medium">
        <color indexed="64"/>
      </right>
      <top style="thin">
        <color auto="1"/>
      </top>
      <bottom style="thin">
        <color indexed="64"/>
      </bottom>
      <diagonal/>
    </border>
    <border>
      <left style="medium">
        <color theme="1"/>
      </left>
      <right style="medium">
        <color theme="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style="thin">
        <color auto="1"/>
      </left>
      <right/>
      <top style="thin">
        <color auto="1"/>
      </top>
      <bottom style="thin">
        <color auto="1"/>
      </bottom>
      <diagonal/>
    </border>
    <border>
      <left/>
      <right/>
      <top/>
      <bottom style="thin">
        <color auto="1"/>
      </bottom>
      <diagonal/>
    </border>
    <border>
      <left style="thin">
        <color auto="1"/>
      </left>
      <right style="medium">
        <color indexed="64"/>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bottom/>
      <diagonal/>
    </border>
    <border>
      <left style="thin">
        <color auto="1"/>
      </left>
      <right style="thin">
        <color auto="1"/>
      </right>
      <top/>
      <bottom/>
      <diagonal/>
    </border>
    <border>
      <left/>
      <right style="thin">
        <color auto="1"/>
      </right>
      <top/>
      <bottom/>
      <diagonal/>
    </border>
    <border>
      <left/>
      <right style="thin">
        <color indexed="64"/>
      </right>
      <top style="double">
        <color indexed="64"/>
      </top>
      <bottom style="medium">
        <color auto="1"/>
      </bottom>
      <diagonal/>
    </border>
    <border>
      <left style="medium">
        <color indexed="64"/>
      </left>
      <right/>
      <top style="double">
        <color indexed="64"/>
      </top>
      <bottom style="medium">
        <color auto="1"/>
      </bottom>
      <diagonal/>
    </border>
    <border>
      <left/>
      <right style="medium">
        <color indexed="64"/>
      </right>
      <top/>
      <bottom/>
      <diagonal/>
    </border>
    <border>
      <left style="medium">
        <color auto="1"/>
      </left>
      <right/>
      <top/>
      <bottom/>
      <diagonal/>
    </border>
    <border>
      <left style="thin">
        <color auto="1"/>
      </left>
      <right style="medium">
        <color indexed="64"/>
      </right>
      <top style="thin">
        <color auto="1"/>
      </top>
      <bottom style="double">
        <color indexed="64"/>
      </bottom>
      <diagonal/>
    </border>
    <border>
      <left style="thin">
        <color auto="1"/>
      </left>
      <right style="thin">
        <color auto="1"/>
      </right>
      <top style="thin">
        <color auto="1"/>
      </top>
      <bottom style="double">
        <color indexed="64"/>
      </bottom>
      <diagonal/>
    </border>
    <border>
      <left/>
      <right style="thin">
        <color auto="1"/>
      </right>
      <top style="thin">
        <color auto="1"/>
      </top>
      <bottom style="double">
        <color indexed="64"/>
      </bottom>
      <diagonal/>
    </border>
    <border>
      <left/>
      <right/>
      <top style="thin">
        <color auto="1"/>
      </top>
      <bottom style="double">
        <color indexed="64"/>
      </bottom>
      <diagonal/>
    </border>
    <border>
      <left style="medium">
        <color auto="1"/>
      </left>
      <right/>
      <top style="thin">
        <color auto="1"/>
      </top>
      <bottom style="double">
        <color indexed="64"/>
      </bottom>
      <diagonal/>
    </border>
    <border>
      <left/>
      <right style="medium">
        <color indexed="64"/>
      </right>
      <top style="thin">
        <color auto="1"/>
      </top>
      <bottom style="double">
        <color indexed="64"/>
      </bottom>
      <diagonal/>
    </border>
    <border>
      <left style="thin">
        <color auto="1"/>
      </left>
      <right style="medium">
        <color indexed="64"/>
      </right>
      <top style="thin">
        <color auto="1"/>
      </top>
      <bottom style="thin">
        <color auto="1"/>
      </bottom>
      <diagonal/>
    </border>
    <border>
      <left/>
      <right style="thin">
        <color auto="1"/>
      </right>
      <top style="thin">
        <color auto="1"/>
      </top>
      <bottom style="thin">
        <color auto="1"/>
      </bottom>
      <diagonal/>
    </border>
    <border>
      <left/>
      <right style="medium">
        <color indexed="64"/>
      </right>
      <top style="thin">
        <color auto="1"/>
      </top>
      <bottom style="thin">
        <color auto="1"/>
      </bottom>
      <diagonal/>
    </border>
    <border>
      <left style="thin">
        <color auto="1"/>
      </left>
      <right style="medium">
        <color indexed="64"/>
      </right>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style="thin">
        <color indexed="64"/>
      </right>
      <top style="medium">
        <color indexed="64"/>
      </top>
      <bottom style="thin">
        <color auto="1"/>
      </bottom>
      <diagonal/>
    </border>
    <border>
      <left/>
      <right style="medium">
        <color indexed="64"/>
      </right>
      <top/>
      <bottom style="thin">
        <color auto="1"/>
      </bottom>
      <diagonal/>
    </border>
    <border>
      <left/>
      <right/>
      <top style="medium">
        <color auto="1"/>
      </top>
      <bottom/>
      <diagonal/>
    </border>
    <border>
      <left style="medium">
        <color indexed="64"/>
      </left>
      <right style="medium">
        <color indexed="64"/>
      </right>
      <top/>
      <bottom/>
      <diagonal/>
    </border>
  </borders>
  <cellStyleXfs count="4">
    <xf numFmtId="0" fontId="0" fillId="0" borderId="0"/>
    <xf numFmtId="0" fontId="31" fillId="0" borderId="0"/>
    <xf numFmtId="9" fontId="31" fillId="0" borderId="0" applyFont="0" applyFill="0" applyBorder="0" applyAlignment="0" applyProtection="0"/>
    <xf numFmtId="167" fontId="31" fillId="0" borderId="0" applyFont="0" applyFill="0" applyBorder="0" applyAlignment="0" applyProtection="0"/>
  </cellStyleXfs>
  <cellXfs count="249">
    <xf numFmtId="0" fontId="0" fillId="0" borderId="0" xfId="0"/>
    <xf numFmtId="0" fontId="4" fillId="2" borderId="0" xfId="0" applyFont="1" applyFill="1"/>
    <xf numFmtId="0" fontId="1" fillId="2" borderId="0" xfId="0" applyFont="1" applyFill="1" applyAlignment="1">
      <alignment horizontal="center"/>
    </xf>
    <xf numFmtId="0" fontId="1" fillId="2" borderId="0" xfId="0" applyFont="1" applyFill="1"/>
    <xf numFmtId="0" fontId="5" fillId="2" borderId="0" xfId="0" applyFont="1" applyFill="1" applyAlignment="1">
      <alignment horizontal="left" indent="1"/>
    </xf>
    <xf numFmtId="0" fontId="6" fillId="2" borderId="0" xfId="0" applyFont="1" applyFill="1" applyAlignment="1">
      <alignment horizontal="left" indent="1"/>
    </xf>
    <xf numFmtId="0" fontId="3" fillId="2" borderId="0" xfId="0" applyFont="1" applyFill="1"/>
    <xf numFmtId="2" fontId="4" fillId="2" borderId="0" xfId="0" applyNumberFormat="1" applyFont="1" applyFill="1"/>
    <xf numFmtId="0" fontId="2" fillId="2" borderId="0" xfId="0" applyFont="1" applyFill="1" applyAlignment="1">
      <alignment horizontal="center"/>
    </xf>
    <xf numFmtId="0" fontId="1" fillId="2" borderId="0" xfId="0" applyFont="1" applyFill="1" applyAlignment="1">
      <alignment wrapText="1"/>
    </xf>
    <xf numFmtId="0" fontId="2" fillId="6" borderId="8" xfId="0" applyFont="1" applyFill="1" applyBorder="1" applyAlignment="1">
      <alignment horizontal="center" vertical="center"/>
    </xf>
    <xf numFmtId="0" fontId="10" fillId="2" borderId="0" xfId="0" applyFont="1" applyFill="1" applyAlignment="1">
      <alignment horizontal="left" vertical="top" wrapText="1"/>
    </xf>
    <xf numFmtId="0" fontId="9" fillId="2" borderId="9" xfId="0" applyFont="1" applyFill="1" applyBorder="1" applyAlignment="1">
      <alignment horizontal="left" vertical="center" wrapText="1" readingOrder="1"/>
    </xf>
    <xf numFmtId="0" fontId="9" fillId="2" borderId="14" xfId="0" applyFont="1" applyFill="1" applyBorder="1" applyAlignment="1">
      <alignment horizontal="left" vertical="center" wrapText="1" readingOrder="1"/>
    </xf>
    <xf numFmtId="0" fontId="9" fillId="2" borderId="10" xfId="0" applyFont="1" applyFill="1" applyBorder="1" applyAlignment="1">
      <alignment horizontal="left" vertical="center" wrapText="1" readingOrder="1"/>
    </xf>
    <xf numFmtId="0" fontId="9" fillId="2" borderId="12" xfId="0" applyFont="1" applyFill="1" applyBorder="1" applyAlignment="1">
      <alignment horizontal="left" vertical="center" wrapText="1" readingOrder="1"/>
    </xf>
    <xf numFmtId="0" fontId="9" fillId="2" borderId="19" xfId="0" applyFont="1" applyFill="1" applyBorder="1" applyAlignment="1">
      <alignment horizontal="left" vertical="center" wrapText="1" readingOrder="1"/>
    </xf>
    <xf numFmtId="0" fontId="12" fillId="2" borderId="17" xfId="0" applyFont="1" applyFill="1" applyBorder="1" applyAlignment="1">
      <alignment horizontal="left" vertical="center" wrapText="1" readingOrder="1"/>
    </xf>
    <xf numFmtId="0" fontId="15" fillId="2" borderId="0" xfId="0" applyFont="1" applyFill="1" applyAlignment="1">
      <alignment horizontal="left" indent="1"/>
    </xf>
    <xf numFmtId="0" fontId="14" fillId="2" borderId="7" xfId="0" applyFont="1" applyFill="1" applyBorder="1" applyAlignment="1">
      <alignment wrapText="1"/>
    </xf>
    <xf numFmtId="0" fontId="16" fillId="7" borderId="7" xfId="0" applyFont="1" applyFill="1" applyBorder="1" applyAlignment="1">
      <alignment horizontal="center" vertical="center" wrapText="1"/>
    </xf>
    <xf numFmtId="2" fontId="17" fillId="2" borderId="7" xfId="0" applyNumberFormat="1" applyFont="1" applyFill="1" applyBorder="1" applyAlignment="1">
      <alignment horizontal="center" wrapText="1"/>
    </xf>
    <xf numFmtId="0" fontId="18" fillId="0" borderId="0" xfId="0" applyFont="1" applyAlignment="1">
      <alignment vertical="center"/>
    </xf>
    <xf numFmtId="0" fontId="19" fillId="2" borderId="6" xfId="0" applyFont="1" applyFill="1" applyBorder="1" applyAlignment="1">
      <alignment horizontal="center" vertical="center"/>
    </xf>
    <xf numFmtId="0" fontId="20" fillId="6" borderId="10" xfId="0" applyFont="1" applyFill="1" applyBorder="1" applyAlignment="1" applyProtection="1">
      <alignment horizontal="center" vertical="center"/>
      <protection locked="0"/>
    </xf>
    <xf numFmtId="2" fontId="21" fillId="2" borderId="15" xfId="0" applyNumberFormat="1" applyFont="1" applyFill="1" applyBorder="1" applyAlignment="1">
      <alignment vertical="center"/>
    </xf>
    <xf numFmtId="0" fontId="21" fillId="2" borderId="0" xfId="0" applyFont="1" applyFill="1" applyAlignment="1">
      <alignment horizontal="center" vertical="center"/>
    </xf>
    <xf numFmtId="0" fontId="21" fillId="2" borderId="0" xfId="0" applyFont="1" applyFill="1" applyAlignment="1">
      <alignment vertical="center"/>
    </xf>
    <xf numFmtId="0" fontId="20" fillId="6" borderId="18" xfId="0" applyFont="1" applyFill="1" applyBorder="1" applyAlignment="1" applyProtection="1">
      <alignment horizontal="center" vertical="center"/>
      <protection locked="0"/>
    </xf>
    <xf numFmtId="2" fontId="21" fillId="2" borderId="13" xfId="0" applyNumberFormat="1" applyFont="1" applyFill="1" applyBorder="1" applyAlignment="1">
      <alignment vertical="center"/>
    </xf>
    <xf numFmtId="0" fontId="20" fillId="6" borderId="11" xfId="0" applyFont="1" applyFill="1" applyBorder="1" applyAlignment="1" applyProtection="1">
      <alignment horizontal="center" vertical="center"/>
      <protection locked="0"/>
    </xf>
    <xf numFmtId="0" fontId="23" fillId="2" borderId="6" xfId="0" applyFont="1" applyFill="1" applyBorder="1" applyAlignment="1">
      <alignment horizontal="center" vertical="center"/>
    </xf>
    <xf numFmtId="0" fontId="24" fillId="6" borderId="5" xfId="0" applyFont="1" applyFill="1" applyBorder="1" applyAlignment="1" applyProtection="1">
      <alignment horizontal="center" vertical="center"/>
      <protection locked="0"/>
    </xf>
    <xf numFmtId="2" fontId="22" fillId="2" borderId="16" xfId="0" applyNumberFormat="1" applyFont="1" applyFill="1" applyBorder="1" applyAlignment="1">
      <alignment vertical="center"/>
    </xf>
    <xf numFmtId="0" fontId="22" fillId="2" borderId="0" xfId="0" applyFont="1" applyFill="1" applyAlignment="1">
      <alignment horizontal="center" vertical="center"/>
    </xf>
    <xf numFmtId="0" fontId="22" fillId="2" borderId="0" xfId="0" applyFont="1" applyFill="1" applyAlignment="1">
      <alignment vertical="center"/>
    </xf>
    <xf numFmtId="0" fontId="25" fillId="6" borderId="8" xfId="0" applyFont="1" applyFill="1" applyBorder="1" applyAlignment="1">
      <alignment horizontal="center" vertical="center"/>
    </xf>
    <xf numFmtId="0" fontId="29" fillId="2" borderId="0" xfId="0" applyFont="1" applyFill="1"/>
    <xf numFmtId="0" fontId="30" fillId="2" borderId="0" xfId="0" applyFont="1" applyFill="1"/>
    <xf numFmtId="0" fontId="31" fillId="0" borderId="0" xfId="1"/>
    <xf numFmtId="0" fontId="31" fillId="0" borderId="0" xfId="1" applyAlignment="1">
      <alignment wrapText="1"/>
    </xf>
    <xf numFmtId="9" fontId="31" fillId="0" borderId="0" xfId="1" applyNumberFormat="1" applyAlignment="1">
      <alignment horizontal="center" vertical="center"/>
    </xf>
    <xf numFmtId="0" fontId="26" fillId="0" borderId="0" xfId="1" applyFont="1" applyAlignment="1">
      <alignment horizontal="center" vertical="center"/>
    </xf>
    <xf numFmtId="49" fontId="26" fillId="0" borderId="0" xfId="1" applyNumberFormat="1" applyFont="1" applyAlignment="1">
      <alignment horizontal="center"/>
    </xf>
    <xf numFmtId="0" fontId="26" fillId="0" borderId="0" xfId="1" applyFont="1" applyAlignment="1">
      <alignment wrapText="1"/>
    </xf>
    <xf numFmtId="0" fontId="26" fillId="0" borderId="0" xfId="1" applyFont="1" applyAlignment="1">
      <alignment horizontal="center"/>
    </xf>
    <xf numFmtId="49" fontId="31" fillId="0" borderId="0" xfId="1" applyNumberFormat="1" applyAlignment="1" applyProtection="1">
      <alignment horizontal="center" vertical="center" wrapText="1"/>
      <protection locked="0"/>
    </xf>
    <xf numFmtId="0" fontId="31" fillId="0" borderId="0" xfId="1" applyAlignment="1" applyProtection="1">
      <alignment horizontal="center" vertical="center"/>
      <protection locked="0"/>
    </xf>
    <xf numFmtId="0" fontId="31" fillId="0" borderId="0" xfId="1" applyAlignment="1">
      <alignment horizontal="center" vertical="center"/>
    </xf>
    <xf numFmtId="9" fontId="31" fillId="0" borderId="0" xfId="1" applyNumberFormat="1" applyAlignment="1" applyProtection="1">
      <alignment horizontal="center" vertical="center"/>
      <protection locked="0"/>
    </xf>
    <xf numFmtId="49" fontId="31" fillId="0" borderId="0" xfId="1" applyNumberFormat="1" applyAlignment="1" applyProtection="1">
      <alignment horizontal="center"/>
      <protection locked="0"/>
    </xf>
    <xf numFmtId="0" fontId="31" fillId="0" borderId="0" xfId="1" applyAlignment="1" applyProtection="1">
      <alignment wrapText="1"/>
      <protection locked="0"/>
    </xf>
    <xf numFmtId="2" fontId="31" fillId="10" borderId="0" xfId="1" applyNumberFormat="1" applyFill="1" applyAlignment="1">
      <alignment horizontal="center" vertical="center"/>
    </xf>
    <xf numFmtId="164" fontId="31" fillId="0" borderId="0" xfId="1" applyNumberFormat="1" applyAlignment="1" applyProtection="1">
      <alignment horizontal="center"/>
      <protection locked="0"/>
    </xf>
    <xf numFmtId="0" fontId="31" fillId="0" borderId="0" xfId="1" applyAlignment="1" applyProtection="1">
      <alignment horizontal="center"/>
      <protection locked="0"/>
    </xf>
    <xf numFmtId="0" fontId="31" fillId="0" borderId="0" xfId="1" applyProtection="1">
      <protection locked="0"/>
    </xf>
    <xf numFmtId="49" fontId="31" fillId="0" borderId="0" xfId="1" applyNumberFormat="1" applyAlignment="1" applyProtection="1">
      <alignment horizontal="center" vertical="center"/>
      <protection locked="0"/>
    </xf>
    <xf numFmtId="0" fontId="31" fillId="0" borderId="0" xfId="1" applyAlignment="1" applyProtection="1">
      <alignment horizontal="left" vertical="center"/>
      <protection locked="0"/>
    </xf>
    <xf numFmtId="0" fontId="31" fillId="0" borderId="0" xfId="1" applyAlignment="1" applyProtection="1">
      <alignment horizontal="center" vertical="center" wrapText="1"/>
      <protection locked="0"/>
    </xf>
    <xf numFmtId="0" fontId="1" fillId="0" borderId="0" xfId="1" applyFont="1" applyAlignment="1" applyProtection="1">
      <alignment horizontal="center" vertical="center"/>
      <protection locked="0"/>
    </xf>
    <xf numFmtId="49" fontId="1" fillId="0" borderId="0" xfId="1" applyNumberFormat="1" applyFont="1" applyAlignment="1" applyProtection="1">
      <alignment horizontal="center"/>
      <protection locked="0"/>
    </xf>
    <xf numFmtId="0" fontId="1" fillId="0" borderId="0" xfId="1" applyFont="1" applyAlignment="1" applyProtection="1">
      <alignment wrapText="1"/>
      <protection locked="0"/>
    </xf>
    <xf numFmtId="0" fontId="1" fillId="0" borderId="0" xfId="1" applyFont="1" applyAlignment="1">
      <alignment wrapText="1"/>
    </xf>
    <xf numFmtId="0" fontId="1" fillId="0" borderId="0" xfId="1" applyFont="1" applyAlignment="1" applyProtection="1">
      <alignment horizontal="center"/>
      <protection locked="0"/>
    </xf>
    <xf numFmtId="0" fontId="1" fillId="0" borderId="0" xfId="1" applyFont="1" applyAlignment="1">
      <alignment horizontal="center" vertical="center"/>
    </xf>
    <xf numFmtId="49" fontId="1" fillId="0" borderId="0" xfId="1" applyNumberFormat="1" applyFont="1" applyAlignment="1">
      <alignment horizontal="center"/>
    </xf>
    <xf numFmtId="166" fontId="32" fillId="11" borderId="7" xfId="1" applyNumberFormat="1" applyFont="1" applyFill="1" applyBorder="1" applyAlignment="1">
      <alignment horizontal="center"/>
    </xf>
    <xf numFmtId="0" fontId="32" fillId="11" borderId="7" xfId="1" applyFont="1" applyFill="1" applyBorder="1" applyAlignment="1">
      <alignment horizontal="center"/>
    </xf>
    <xf numFmtId="0" fontId="33" fillId="12" borderId="7" xfId="1" applyFont="1" applyFill="1" applyBorder="1" applyAlignment="1">
      <alignment horizontal="center" vertical="center"/>
    </xf>
    <xf numFmtId="9" fontId="31" fillId="0" borderId="0" xfId="1" applyNumberFormat="1"/>
    <xf numFmtId="49" fontId="31" fillId="0" borderId="0" xfId="1" applyNumberFormat="1" applyAlignment="1">
      <alignment horizontal="center" vertical="center"/>
    </xf>
    <xf numFmtId="9" fontId="26" fillId="0" borderId="0" xfId="2" applyFont="1" applyBorder="1" applyAlignment="1" applyProtection="1">
      <alignment horizontal="center" vertical="center"/>
    </xf>
    <xf numFmtId="9" fontId="26" fillId="0" borderId="7" xfId="2" applyFont="1" applyBorder="1" applyAlignment="1" applyProtection="1">
      <alignment horizontal="center" vertical="center"/>
    </xf>
    <xf numFmtId="2" fontId="26" fillId="0" borderId="7" xfId="3" applyNumberFormat="1" applyFont="1" applyBorder="1" applyAlignment="1" applyProtection="1">
      <alignment horizontal="center"/>
    </xf>
    <xf numFmtId="49" fontId="26" fillId="13" borderId="7" xfId="1" applyNumberFormat="1" applyFont="1" applyFill="1" applyBorder="1" applyAlignment="1">
      <alignment horizontal="center" vertical="center"/>
    </xf>
    <xf numFmtId="49" fontId="34" fillId="14" borderId="7" xfId="1" applyNumberFormat="1" applyFont="1" applyFill="1" applyBorder="1" applyAlignment="1">
      <alignment horizontal="center" vertical="center"/>
    </xf>
    <xf numFmtId="0" fontId="35" fillId="0" borderId="0" xfId="1" applyFont="1" applyAlignment="1">
      <alignment horizontal="center" vertical="center"/>
    </xf>
    <xf numFmtId="0" fontId="36" fillId="6" borderId="20" xfId="1" applyFont="1" applyFill="1" applyBorder="1" applyAlignment="1">
      <alignment horizontal="center" vertical="center"/>
    </xf>
    <xf numFmtId="2" fontId="37" fillId="6" borderId="7" xfId="1" applyNumberFormat="1" applyFont="1" applyFill="1" applyBorder="1" applyAlignment="1">
      <alignment horizontal="center" vertical="center"/>
    </xf>
    <xf numFmtId="9" fontId="26" fillId="0" borderId="7" xfId="2" applyFont="1" applyFill="1" applyBorder="1" applyAlignment="1" applyProtection="1">
      <alignment horizontal="center" vertical="center"/>
    </xf>
    <xf numFmtId="2" fontId="26" fillId="0" borderId="7" xfId="1" applyNumberFormat="1" applyFont="1" applyBorder="1" applyAlignment="1">
      <alignment horizontal="center" vertical="center"/>
    </xf>
    <xf numFmtId="0" fontId="38" fillId="15" borderId="7" xfId="1" applyFont="1" applyFill="1" applyBorder="1" applyAlignment="1">
      <alignment horizontal="center" vertical="center"/>
    </xf>
    <xf numFmtId="0" fontId="38" fillId="16" borderId="7" xfId="1" applyFont="1" applyFill="1" applyBorder="1" applyAlignment="1">
      <alignment horizontal="center" vertical="center"/>
    </xf>
    <xf numFmtId="0" fontId="38" fillId="17" borderId="7" xfId="1" applyFont="1" applyFill="1" applyBorder="1" applyAlignment="1">
      <alignment horizontal="center" vertical="center"/>
    </xf>
    <xf numFmtId="0" fontId="36" fillId="6" borderId="0" xfId="1" applyFont="1" applyFill="1" applyAlignment="1">
      <alignment vertical="center"/>
    </xf>
    <xf numFmtId="0" fontId="36" fillId="6" borderId="21" xfId="1" applyFont="1" applyFill="1" applyBorder="1" applyAlignment="1">
      <alignment vertical="center"/>
    </xf>
    <xf numFmtId="2" fontId="32" fillId="0" borderId="22" xfId="1" applyNumberFormat="1" applyFont="1" applyBorder="1" applyAlignment="1">
      <alignment horizontal="center" vertical="center"/>
    </xf>
    <xf numFmtId="0" fontId="39" fillId="12" borderId="7" xfId="1" applyFont="1" applyFill="1" applyBorder="1" applyAlignment="1">
      <alignment horizontal="center" vertical="center"/>
    </xf>
    <xf numFmtId="0" fontId="37" fillId="6" borderId="0" xfId="1" applyFont="1" applyFill="1" applyAlignment="1">
      <alignment horizontal="center" vertical="center"/>
    </xf>
    <xf numFmtId="0" fontId="37" fillId="6" borderId="7" xfId="1" applyFont="1" applyFill="1" applyBorder="1" applyAlignment="1">
      <alignment horizontal="center" vertical="center"/>
    </xf>
    <xf numFmtId="0" fontId="1" fillId="0" borderId="0" xfId="1" applyFont="1"/>
    <xf numFmtId="0" fontId="1" fillId="0" borderId="0" xfId="1" applyFont="1" applyAlignment="1">
      <alignment horizontal="center"/>
    </xf>
    <xf numFmtId="166" fontId="32" fillId="11" borderId="0" xfId="1" applyNumberFormat="1" applyFont="1" applyFill="1" applyAlignment="1" applyProtection="1">
      <alignment horizontal="center"/>
      <protection locked="0"/>
    </xf>
    <xf numFmtId="0" fontId="33" fillId="12" borderId="7" xfId="1" applyFont="1" applyFill="1" applyBorder="1" applyAlignment="1" applyProtection="1">
      <alignment horizontal="center" vertical="center"/>
      <protection locked="0"/>
    </xf>
    <xf numFmtId="0" fontId="32" fillId="11" borderId="0" xfId="1" applyFont="1" applyFill="1" applyAlignment="1" applyProtection="1">
      <alignment horizontal="center"/>
      <protection locked="0"/>
    </xf>
    <xf numFmtId="0" fontId="32" fillId="11" borderId="7" xfId="1" applyFont="1" applyFill="1" applyBorder="1" applyAlignment="1" applyProtection="1">
      <alignment horizontal="center"/>
      <protection locked="0"/>
    </xf>
    <xf numFmtId="0" fontId="32" fillId="18" borderId="0" xfId="1" applyFont="1" applyFill="1" applyAlignment="1" applyProtection="1">
      <alignment horizontal="center"/>
      <protection locked="0"/>
    </xf>
    <xf numFmtId="0" fontId="32" fillId="18" borderId="7" xfId="1" applyFont="1" applyFill="1" applyBorder="1" applyAlignment="1" applyProtection="1">
      <alignment horizontal="center"/>
      <protection locked="0"/>
    </xf>
    <xf numFmtId="0" fontId="1" fillId="0" borderId="0" xfId="1" applyFont="1" applyAlignment="1">
      <alignment horizontal="center" vertical="center" wrapText="1"/>
    </xf>
    <xf numFmtId="0" fontId="1" fillId="0" borderId="0" xfId="1" applyFont="1" applyAlignment="1">
      <alignment horizontal="center" vertical="top" wrapText="1"/>
    </xf>
    <xf numFmtId="165" fontId="31" fillId="0" borderId="0" xfId="1" applyNumberFormat="1" applyAlignment="1" applyProtection="1">
      <alignment horizontal="center"/>
      <protection locked="0"/>
    </xf>
    <xf numFmtId="0" fontId="31" fillId="0" borderId="0" xfId="1" applyAlignment="1" applyProtection="1">
      <alignment horizontal="left" vertical="center" wrapText="1"/>
      <protection locked="0"/>
    </xf>
    <xf numFmtId="0" fontId="31" fillId="0" borderId="0" xfId="1" applyAlignment="1" applyProtection="1">
      <alignment horizontal="center" wrapText="1"/>
      <protection locked="0"/>
    </xf>
    <xf numFmtId="166" fontId="32" fillId="11" borderId="7" xfId="1" applyNumberFormat="1" applyFont="1" applyFill="1" applyBorder="1" applyAlignment="1" applyProtection="1">
      <alignment horizontal="center" wrapText="1"/>
      <protection locked="0"/>
    </xf>
    <xf numFmtId="0" fontId="8" fillId="2" borderId="0" xfId="0" applyFont="1" applyFill="1" applyAlignment="1">
      <alignment horizontal="center" vertical="center"/>
    </xf>
    <xf numFmtId="0" fontId="7" fillId="2" borderId="4" xfId="0" applyFont="1" applyFill="1" applyBorder="1" applyAlignment="1">
      <alignment horizontal="center" vertical="center" wrapText="1"/>
    </xf>
    <xf numFmtId="2" fontId="21" fillId="2" borderId="0" xfId="0" applyNumberFormat="1" applyFont="1" applyFill="1" applyAlignment="1">
      <alignment vertical="center"/>
    </xf>
    <xf numFmtId="0" fontId="0" fillId="2" borderId="0" xfId="0" applyFill="1"/>
    <xf numFmtId="0" fontId="0" fillId="2" borderId="0" xfId="0" applyFill="1" applyAlignment="1">
      <alignment horizontal="center"/>
    </xf>
    <xf numFmtId="0" fontId="0" fillId="2" borderId="2" xfId="0" applyFill="1" applyBorder="1"/>
    <xf numFmtId="0" fontId="1" fillId="2" borderId="23" xfId="0" applyFont="1" applyFill="1" applyBorder="1"/>
    <xf numFmtId="0" fontId="1" fillId="2" borderId="23" xfId="0" applyFont="1" applyFill="1" applyBorder="1" applyAlignment="1">
      <alignment horizontal="center"/>
    </xf>
    <xf numFmtId="0" fontId="4" fillId="2" borderId="23" xfId="0" applyFont="1" applyFill="1" applyBorder="1"/>
    <xf numFmtId="0" fontId="1" fillId="2" borderId="23" xfId="0" applyFont="1" applyFill="1" applyBorder="1" applyAlignment="1">
      <alignment wrapText="1"/>
    </xf>
    <xf numFmtId="0" fontId="42" fillId="2" borderId="23" xfId="0" applyFont="1" applyFill="1" applyBorder="1"/>
    <xf numFmtId="0" fontId="43" fillId="2" borderId="0" xfId="0" applyFont="1" applyFill="1"/>
    <xf numFmtId="0" fontId="2" fillId="2" borderId="0" xfId="0" applyFont="1" applyFill="1"/>
    <xf numFmtId="0" fontId="42" fillId="2" borderId="23" xfId="0" quotePrefix="1" applyFont="1" applyFill="1" applyBorder="1"/>
    <xf numFmtId="16" fontId="42" fillId="2" borderId="23" xfId="0" quotePrefix="1" applyNumberFormat="1" applyFont="1" applyFill="1" applyBorder="1"/>
    <xf numFmtId="0" fontId="41" fillId="0" borderId="0" xfId="0" applyFont="1"/>
    <xf numFmtId="0" fontId="41" fillId="2" borderId="0" xfId="0" applyFont="1" applyFill="1"/>
    <xf numFmtId="0" fontId="44" fillId="2" borderId="0" xfId="0" applyFont="1" applyFill="1" applyAlignment="1">
      <alignment wrapText="1"/>
    </xf>
    <xf numFmtId="0" fontId="42" fillId="2" borderId="0" xfId="0" applyFont="1" applyFill="1"/>
    <xf numFmtId="0" fontId="44" fillId="2" borderId="23" xfId="0" applyFont="1" applyFill="1" applyBorder="1" applyAlignment="1">
      <alignment wrapText="1"/>
    </xf>
    <xf numFmtId="0" fontId="45" fillId="2" borderId="0" xfId="0" applyFont="1" applyFill="1" applyAlignment="1">
      <alignment wrapText="1"/>
    </xf>
    <xf numFmtId="0" fontId="1" fillId="2" borderId="0" xfId="0" applyFont="1" applyFill="1" applyAlignment="1">
      <alignment vertical="center"/>
    </xf>
    <xf numFmtId="0" fontId="1" fillId="2" borderId="0" xfId="0" applyFont="1" applyFill="1" applyAlignment="1">
      <alignment horizontal="center" vertical="center"/>
    </xf>
    <xf numFmtId="0" fontId="4" fillId="2" borderId="0" xfId="0" applyFont="1" applyFill="1" applyAlignment="1">
      <alignment vertical="center"/>
    </xf>
    <xf numFmtId="0" fontId="1" fillId="2" borderId="25" xfId="0" applyFont="1" applyFill="1" applyBorder="1" applyAlignment="1">
      <alignment vertical="center"/>
    </xf>
    <xf numFmtId="0" fontId="4" fillId="2" borderId="25" xfId="0" applyFont="1" applyFill="1" applyBorder="1" applyAlignment="1">
      <alignment vertical="center"/>
    </xf>
    <xf numFmtId="0" fontId="0" fillId="2" borderId="2" xfId="0" applyFill="1" applyBorder="1" applyAlignment="1">
      <alignment horizontal="center" vertical="center" wrapText="1"/>
    </xf>
    <xf numFmtId="0" fontId="1" fillId="2" borderId="29" xfId="0" applyFont="1" applyFill="1" applyBorder="1" applyAlignment="1">
      <alignment horizontal="center" vertical="center"/>
    </xf>
    <xf numFmtId="0" fontId="1" fillId="2" borderId="36" xfId="0" applyFont="1" applyFill="1" applyBorder="1" applyAlignment="1">
      <alignment horizontal="center" vertical="center"/>
    </xf>
    <xf numFmtId="0" fontId="1" fillId="2" borderId="38" xfId="0" applyFont="1" applyFill="1" applyBorder="1" applyAlignment="1">
      <alignment horizontal="left"/>
    </xf>
    <xf numFmtId="0" fontId="1" fillId="2" borderId="7" xfId="0" applyFont="1" applyFill="1" applyBorder="1" applyAlignment="1">
      <alignment horizontal="center" vertical="center"/>
    </xf>
    <xf numFmtId="0" fontId="1" fillId="2" borderId="13" xfId="0" applyFont="1" applyFill="1" applyBorder="1" applyAlignment="1">
      <alignment horizontal="left"/>
    </xf>
    <xf numFmtId="0" fontId="0" fillId="2" borderId="13" xfId="0" applyFill="1" applyBorder="1" applyAlignment="1">
      <alignment horizontal="left"/>
    </xf>
    <xf numFmtId="0" fontId="1" fillId="2" borderId="23" xfId="0" applyFont="1" applyFill="1" applyBorder="1" applyAlignment="1">
      <alignment horizontal="left"/>
    </xf>
    <xf numFmtId="0" fontId="26" fillId="2" borderId="49" xfId="0" applyFont="1" applyFill="1" applyBorder="1"/>
    <xf numFmtId="0" fontId="25" fillId="0" borderId="2" xfId="0" applyFont="1" applyBorder="1" applyAlignment="1">
      <alignment horizontal="center"/>
    </xf>
    <xf numFmtId="0" fontId="40" fillId="2" borderId="0" xfId="0" applyFont="1" applyFill="1"/>
    <xf numFmtId="2" fontId="46" fillId="2" borderId="0" xfId="0" applyNumberFormat="1" applyFont="1" applyFill="1"/>
    <xf numFmtId="0" fontId="47" fillId="2" borderId="0" xfId="0" applyFont="1" applyFill="1" applyAlignment="1">
      <alignment horizontal="left" vertical="top" wrapText="1"/>
    </xf>
    <xf numFmtId="0" fontId="48" fillId="0" borderId="0" xfId="0" applyFont="1" applyAlignment="1">
      <alignment horizontal="left" vertical="center" wrapText="1" indent="2" readingOrder="1"/>
    </xf>
    <xf numFmtId="0" fontId="49" fillId="2" borderId="0" xfId="0" applyFont="1" applyFill="1" applyAlignment="1">
      <alignment horizontal="center" vertical="center"/>
    </xf>
    <xf numFmtId="2" fontId="22" fillId="2" borderId="5" xfId="0" applyNumberFormat="1" applyFont="1" applyFill="1" applyBorder="1" applyAlignment="1">
      <alignment vertical="center"/>
    </xf>
    <xf numFmtId="0" fontId="12" fillId="0" borderId="17" xfId="0" applyFont="1" applyBorder="1" applyAlignment="1">
      <alignment horizontal="left" vertical="center" wrapText="1" readingOrder="1"/>
    </xf>
    <xf numFmtId="2" fontId="21" fillId="2" borderId="50" xfId="0" applyNumberFormat="1" applyFont="1" applyFill="1" applyBorder="1" applyAlignment="1">
      <alignment vertical="center"/>
    </xf>
    <xf numFmtId="0" fontId="9" fillId="0" borderId="9" xfId="0" applyFont="1" applyBorder="1" applyAlignment="1">
      <alignment horizontal="left" vertical="center" wrapText="1" readingOrder="1"/>
    </xf>
    <xf numFmtId="0" fontId="9" fillId="0" borderId="19" xfId="0" applyFont="1" applyBorder="1" applyAlignment="1">
      <alignment horizontal="left" vertical="center" wrapText="1" readingOrder="1"/>
    </xf>
    <xf numFmtId="2" fontId="21" fillId="2" borderId="18" xfId="0" applyNumberFormat="1" applyFont="1" applyFill="1" applyBorder="1" applyAlignment="1">
      <alignment vertical="center"/>
    </xf>
    <xf numFmtId="0" fontId="9" fillId="0" borderId="12" xfId="0" applyFont="1" applyBorder="1" applyAlignment="1">
      <alignment horizontal="left" vertical="center" wrapText="1" readingOrder="1"/>
    </xf>
    <xf numFmtId="2" fontId="21" fillId="2" borderId="10" xfId="0" applyNumberFormat="1" applyFont="1" applyFill="1" applyBorder="1" applyAlignment="1">
      <alignment vertical="center"/>
    </xf>
    <xf numFmtId="0" fontId="9" fillId="0" borderId="14" xfId="0" applyFont="1" applyBorder="1" applyAlignment="1">
      <alignment horizontal="left" vertical="center" wrapText="1" readingOrder="1"/>
    </xf>
    <xf numFmtId="0" fontId="0" fillId="2" borderId="0" xfId="0" applyFill="1" applyAlignment="1">
      <alignment horizontal="center" vertical="center"/>
    </xf>
    <xf numFmtId="0" fontId="0" fillId="2" borderId="8" xfId="0" applyFill="1" applyBorder="1" applyAlignment="1">
      <alignment horizontal="center" vertical="center"/>
    </xf>
    <xf numFmtId="0" fontId="25" fillId="9" borderId="8" xfId="0" applyFont="1" applyFill="1" applyBorder="1" applyAlignment="1">
      <alignment horizontal="center" vertical="center"/>
    </xf>
    <xf numFmtId="0" fontId="26" fillId="2" borderId="2" xfId="0" applyFont="1" applyFill="1" applyBorder="1" applyAlignment="1">
      <alignment horizontal="center" vertical="center"/>
    </xf>
    <xf numFmtId="0" fontId="25" fillId="8" borderId="8" xfId="0" applyFont="1" applyFill="1" applyBorder="1" applyAlignment="1">
      <alignment horizontal="center" vertical="center"/>
    </xf>
    <xf numFmtId="0" fontId="25" fillId="4" borderId="8" xfId="0" applyFont="1" applyFill="1" applyBorder="1" applyAlignment="1">
      <alignment horizontal="center" vertical="center"/>
    </xf>
    <xf numFmtId="0" fontId="25" fillId="5" borderId="8" xfId="0" applyFont="1" applyFill="1" applyBorder="1" applyAlignment="1">
      <alignment horizontal="center" vertical="center"/>
    </xf>
    <xf numFmtId="0" fontId="25" fillId="19" borderId="8" xfId="0" applyFont="1" applyFill="1" applyBorder="1" applyAlignment="1">
      <alignment horizontal="center" vertical="center" wrapText="1"/>
    </xf>
    <xf numFmtId="0" fontId="50" fillId="0" borderId="0" xfId="0" applyFont="1"/>
    <xf numFmtId="0" fontId="2" fillId="0" borderId="0" xfId="0" applyFont="1"/>
    <xf numFmtId="0" fontId="40" fillId="0" borderId="0" xfId="0" applyFont="1"/>
    <xf numFmtId="0" fontId="51" fillId="0" borderId="0" xfId="0" applyFont="1"/>
    <xf numFmtId="0" fontId="53" fillId="0" borderId="0" xfId="1" applyFont="1" applyAlignment="1" applyProtection="1">
      <alignment horizontal="center" vertical="center"/>
      <protection locked="0"/>
    </xf>
    <xf numFmtId="165" fontId="31" fillId="0" borderId="0" xfId="1" applyNumberFormat="1" applyAlignment="1" applyProtection="1">
      <alignment horizontal="center" vertical="center"/>
      <protection locked="0"/>
    </xf>
    <xf numFmtId="0" fontId="54" fillId="0" borderId="0" xfId="1" applyFont="1" applyAlignment="1" applyProtection="1">
      <alignment horizontal="center"/>
      <protection locked="0"/>
    </xf>
    <xf numFmtId="0" fontId="54" fillId="0" borderId="0" xfId="1" applyFont="1" applyAlignment="1" applyProtection="1">
      <alignment horizontal="center" vertical="center"/>
      <protection locked="0"/>
    </xf>
    <xf numFmtId="165" fontId="55" fillId="0" borderId="0" xfId="1" applyNumberFormat="1" applyFont="1" applyAlignment="1" applyProtection="1">
      <alignment horizontal="center" vertical="center"/>
      <protection locked="0"/>
    </xf>
    <xf numFmtId="0" fontId="31" fillId="2" borderId="0" xfId="1" applyFill="1" applyProtection="1">
      <protection locked="0"/>
    </xf>
    <xf numFmtId="49" fontId="31" fillId="2" borderId="0" xfId="1" applyNumberFormat="1" applyFill="1" applyAlignment="1" applyProtection="1">
      <alignment horizontal="center" vertical="center" wrapText="1"/>
      <protection locked="0"/>
    </xf>
    <xf numFmtId="0" fontId="31" fillId="8" borderId="0" xfId="1" applyFill="1" applyAlignment="1" applyProtection="1">
      <alignment horizontal="center" wrapText="1"/>
      <protection locked="0"/>
    </xf>
    <xf numFmtId="0" fontId="31" fillId="8" borderId="0" xfId="1" applyFill="1" applyAlignment="1" applyProtection="1">
      <alignment horizontal="center" vertical="center"/>
      <protection locked="0"/>
    </xf>
    <xf numFmtId="0" fontId="54" fillId="8" borderId="0" xfId="1" applyFont="1" applyFill="1" applyAlignment="1" applyProtection="1">
      <alignment horizontal="center"/>
      <protection locked="0"/>
    </xf>
    <xf numFmtId="2" fontId="31" fillId="8" borderId="0" xfId="1" applyNumberFormat="1" applyFill="1" applyAlignment="1">
      <alignment horizontal="center" vertical="center"/>
    </xf>
    <xf numFmtId="0" fontId="54" fillId="8" borderId="0" xfId="1" applyFont="1" applyFill="1" applyAlignment="1" applyProtection="1">
      <alignment horizontal="center" vertical="center"/>
      <protection locked="0"/>
    </xf>
    <xf numFmtId="0" fontId="31" fillId="8" borderId="0" xfId="1" applyFill="1" applyAlignment="1" applyProtection="1">
      <alignment horizontal="left" vertical="center" wrapText="1"/>
      <protection locked="0"/>
    </xf>
    <xf numFmtId="49" fontId="31" fillId="8" borderId="0" xfId="1" applyNumberFormat="1" applyFill="1" applyAlignment="1" applyProtection="1">
      <alignment horizontal="center" vertical="center"/>
      <protection locked="0"/>
    </xf>
    <xf numFmtId="9" fontId="31" fillId="8" borderId="0" xfId="1" applyNumberFormat="1" applyFill="1" applyAlignment="1" applyProtection="1">
      <alignment horizontal="center" vertical="center"/>
      <protection locked="0"/>
    </xf>
    <xf numFmtId="0" fontId="31" fillId="8" borderId="0" xfId="1" applyFill="1" applyAlignment="1">
      <alignment horizontal="center" vertical="center"/>
    </xf>
    <xf numFmtId="49" fontId="31" fillId="8" borderId="0" xfId="1" applyNumberFormat="1" applyFill="1" applyAlignment="1" applyProtection="1">
      <alignment horizontal="center" vertical="center" wrapText="1"/>
      <protection locked="0"/>
    </xf>
    <xf numFmtId="165" fontId="31" fillId="8" borderId="0" xfId="1" applyNumberFormat="1" applyFill="1" applyAlignment="1" applyProtection="1">
      <alignment horizontal="center" vertical="center"/>
      <protection locked="0"/>
    </xf>
    <xf numFmtId="0" fontId="31" fillId="8" borderId="0" xfId="1" applyFill="1" applyAlignment="1" applyProtection="1">
      <alignment wrapText="1"/>
      <protection locked="0"/>
    </xf>
    <xf numFmtId="0" fontId="31" fillId="8" borderId="0" xfId="1" applyFill="1" applyAlignment="1" applyProtection="1">
      <alignment horizontal="center"/>
      <protection locked="0"/>
    </xf>
    <xf numFmtId="49" fontId="31" fillId="8" borderId="0" xfId="1" applyNumberFormat="1" applyFill="1" applyAlignment="1" applyProtection="1">
      <alignment horizontal="center"/>
      <protection locked="0"/>
    </xf>
    <xf numFmtId="0" fontId="11" fillId="3" borderId="1" xfId="0" applyFont="1" applyFill="1" applyBorder="1" applyAlignment="1">
      <alignment horizontal="center" wrapText="1"/>
    </xf>
    <xf numFmtId="0" fontId="11" fillId="3" borderId="2" xfId="0" applyFont="1" applyFill="1" applyBorder="1" applyAlignment="1">
      <alignment horizontal="center" wrapText="1"/>
    </xf>
    <xf numFmtId="0" fontId="11" fillId="3" borderId="3" xfId="0" applyFont="1" applyFill="1" applyBorder="1" applyAlignment="1">
      <alignment horizontal="center" wrapText="1"/>
    </xf>
    <xf numFmtId="0" fontId="25" fillId="19" borderId="1" xfId="0" applyFont="1" applyFill="1" applyBorder="1" applyAlignment="1">
      <alignment horizontal="center"/>
    </xf>
    <xf numFmtId="0" fontId="25" fillId="19" borderId="3" xfId="0" applyFont="1" applyFill="1" applyBorder="1" applyAlignment="1">
      <alignment horizontal="center"/>
    </xf>
    <xf numFmtId="0" fontId="0" fillId="2" borderId="1" xfId="0" applyFill="1" applyBorder="1" applyAlignment="1">
      <alignment horizontal="center" vertical="center" wrapText="1"/>
    </xf>
    <xf numFmtId="0" fontId="0" fillId="2" borderId="26" xfId="0" applyFill="1" applyBorder="1" applyAlignment="1">
      <alignment horizontal="center" vertical="center" wrapText="1"/>
    </xf>
    <xf numFmtId="0" fontId="1" fillId="2" borderId="32" xfId="0" applyFont="1" applyFill="1" applyBorder="1" applyAlignment="1">
      <alignment horizontal="center"/>
    </xf>
    <xf numFmtId="0" fontId="1" fillId="2" borderId="31" xfId="0" applyFont="1" applyFill="1" applyBorder="1" applyAlignment="1">
      <alignment horizontal="center"/>
    </xf>
    <xf numFmtId="0" fontId="1" fillId="2" borderId="39" xfId="0" applyFont="1" applyFill="1" applyBorder="1" applyAlignment="1">
      <alignment horizontal="center"/>
    </xf>
    <xf numFmtId="0" fontId="1" fillId="2" borderId="37" xfId="0" applyFont="1" applyFill="1" applyBorder="1" applyAlignment="1">
      <alignment horizontal="center"/>
    </xf>
    <xf numFmtId="0" fontId="1" fillId="2" borderId="12" xfId="0" applyFont="1" applyFill="1" applyBorder="1" applyAlignment="1">
      <alignment horizontal="center"/>
    </xf>
    <xf numFmtId="0" fontId="1" fillId="2" borderId="42" xfId="0" applyFont="1" applyFill="1" applyBorder="1" applyAlignment="1">
      <alignment horizontal="center"/>
    </xf>
    <xf numFmtId="0" fontId="0" fillId="2" borderId="12" xfId="0" applyFill="1" applyBorder="1" applyAlignment="1">
      <alignment horizontal="center"/>
    </xf>
    <xf numFmtId="0" fontId="0" fillId="2" borderId="42" xfId="0" applyFill="1" applyBorder="1" applyAlignment="1">
      <alignment horizontal="center"/>
    </xf>
    <xf numFmtId="0" fontId="1" fillId="2" borderId="14" xfId="0" applyFont="1" applyFill="1" applyBorder="1" applyAlignment="1">
      <alignment horizontal="center"/>
    </xf>
    <xf numFmtId="0" fontId="1" fillId="2" borderId="47" xfId="0" applyFont="1" applyFill="1" applyBorder="1" applyAlignment="1">
      <alignment horizontal="center"/>
    </xf>
    <xf numFmtId="0" fontId="1" fillId="2" borderId="29" xfId="0" applyFont="1" applyFill="1" applyBorder="1" applyAlignment="1">
      <alignment horizontal="center" vertical="center"/>
    </xf>
    <xf numFmtId="0" fontId="1" fillId="2" borderId="36" xfId="0" applyFont="1" applyFill="1" applyBorder="1" applyAlignment="1">
      <alignment horizontal="center" vertical="center"/>
    </xf>
    <xf numFmtId="0" fontId="1" fillId="2" borderId="28" xfId="0" applyFont="1" applyFill="1" applyBorder="1" applyAlignment="1">
      <alignment horizontal="center" vertical="center"/>
    </xf>
    <xf numFmtId="0" fontId="1" fillId="2" borderId="35"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41" xfId="0" applyFont="1" applyFill="1" applyBorder="1" applyAlignment="1">
      <alignment horizontal="center" vertical="center"/>
    </xf>
    <xf numFmtId="0" fontId="1" fillId="2" borderId="45" xfId="0" applyFont="1" applyFill="1" applyBorder="1" applyAlignment="1">
      <alignment horizontal="center" vertical="center"/>
    </xf>
    <xf numFmtId="0" fontId="1" fillId="2" borderId="44" xfId="0" applyFont="1" applyFill="1" applyBorder="1" applyAlignment="1">
      <alignment horizontal="center" vertical="center"/>
    </xf>
    <xf numFmtId="0" fontId="0" fillId="2" borderId="34" xfId="0" applyFill="1" applyBorder="1" applyAlignment="1">
      <alignment horizontal="center"/>
    </xf>
    <xf numFmtId="0" fontId="1" fillId="2" borderId="33" xfId="0" applyFont="1" applyFill="1" applyBorder="1" applyAlignment="1">
      <alignment horizontal="center"/>
    </xf>
    <xf numFmtId="0" fontId="1" fillId="2" borderId="39" xfId="0" applyFont="1" applyFill="1" applyBorder="1" applyAlignment="1">
      <alignment horizontal="left"/>
    </xf>
    <xf numFmtId="0" fontId="1" fillId="2" borderId="40" xfId="0" applyFont="1" applyFill="1" applyBorder="1" applyAlignment="1">
      <alignment horizontal="left"/>
    </xf>
    <xf numFmtId="0" fontId="1" fillId="2" borderId="12" xfId="0" applyFont="1" applyFill="1" applyBorder="1" applyAlignment="1">
      <alignment horizontal="left"/>
    </xf>
    <xf numFmtId="0" fontId="1" fillId="2" borderId="43" xfId="0" applyFont="1" applyFill="1" applyBorder="1" applyAlignment="1">
      <alignment horizontal="left"/>
    </xf>
    <xf numFmtId="0" fontId="0" fillId="2" borderId="12" xfId="0" applyFill="1" applyBorder="1" applyAlignment="1">
      <alignment horizontal="left"/>
    </xf>
    <xf numFmtId="0" fontId="0" fillId="2" borderId="43" xfId="0" applyFill="1" applyBorder="1" applyAlignment="1">
      <alignment horizontal="left"/>
    </xf>
    <xf numFmtId="0" fontId="1" fillId="2" borderId="9" xfId="0" applyFont="1" applyFill="1" applyBorder="1" applyAlignment="1">
      <alignment horizontal="left"/>
    </xf>
    <xf numFmtId="0" fontId="1" fillId="2" borderId="48" xfId="0" applyFont="1" applyFill="1" applyBorder="1" applyAlignment="1">
      <alignment horizontal="left"/>
    </xf>
    <xf numFmtId="0" fontId="7" fillId="2" borderId="4" xfId="0" applyFont="1" applyFill="1" applyBorder="1" applyAlignment="1">
      <alignment horizontal="center" vertical="center"/>
    </xf>
    <xf numFmtId="0" fontId="0" fillId="2" borderId="27" xfId="0" applyFill="1" applyBorder="1" applyAlignment="1">
      <alignment horizontal="center" vertical="center" wrapText="1"/>
    </xf>
    <xf numFmtId="0" fontId="0" fillId="2" borderId="24" xfId="0" applyFill="1" applyBorder="1" applyAlignment="1">
      <alignment horizontal="center" vertical="center" wrapText="1"/>
    </xf>
    <xf numFmtId="0" fontId="25" fillId="9" borderId="1" xfId="0" applyFont="1" applyFill="1" applyBorder="1" applyAlignment="1">
      <alignment horizontal="center"/>
    </xf>
    <xf numFmtId="0" fontId="25" fillId="9" borderId="3" xfId="0" applyFont="1" applyFill="1" applyBorder="1" applyAlignment="1">
      <alignment horizontal="center"/>
    </xf>
    <xf numFmtId="0" fontId="25" fillId="8" borderId="1" xfId="0" applyFont="1" applyFill="1" applyBorder="1" applyAlignment="1">
      <alignment horizontal="center"/>
    </xf>
    <xf numFmtId="0" fontId="25" fillId="8" borderId="3" xfId="0" applyFont="1" applyFill="1" applyBorder="1" applyAlignment="1">
      <alignment horizontal="center"/>
    </xf>
    <xf numFmtId="0" fontId="25" fillId="4" borderId="1" xfId="0" applyFont="1" applyFill="1" applyBorder="1" applyAlignment="1">
      <alignment horizontal="center"/>
    </xf>
    <xf numFmtId="0" fontId="25" fillId="4" borderId="3" xfId="0" applyFont="1" applyFill="1" applyBorder="1" applyAlignment="1">
      <alignment horizontal="center"/>
    </xf>
    <xf numFmtId="0" fontId="25" fillId="5" borderId="1" xfId="0" applyFont="1" applyFill="1" applyBorder="1" applyAlignment="1">
      <alignment horizontal="center"/>
    </xf>
    <xf numFmtId="0" fontId="25" fillId="5" borderId="3" xfId="0" applyFont="1" applyFill="1" applyBorder="1" applyAlignment="1">
      <alignment horizontal="center"/>
    </xf>
    <xf numFmtId="0" fontId="0" fillId="2" borderId="25" xfId="0" applyFill="1" applyBorder="1" applyAlignment="1">
      <alignment horizontal="center" vertical="center"/>
    </xf>
    <xf numFmtId="0" fontId="0" fillId="2" borderId="24" xfId="0" applyFill="1" applyBorder="1" applyAlignment="1">
      <alignment horizontal="center" vertical="center"/>
    </xf>
    <xf numFmtId="0" fontId="1" fillId="2" borderId="25" xfId="0" applyFont="1" applyFill="1" applyBorder="1" applyAlignment="1">
      <alignment horizontal="center" vertical="center"/>
    </xf>
    <xf numFmtId="49" fontId="0" fillId="2" borderId="26" xfId="0" applyNumberFormat="1" applyFill="1" applyBorder="1" applyAlignment="1">
      <alignment horizontal="center" vertical="center" wrapText="1"/>
    </xf>
    <xf numFmtId="49" fontId="1" fillId="2" borderId="25" xfId="0" applyNumberFormat="1" applyFont="1" applyFill="1" applyBorder="1" applyAlignment="1">
      <alignment horizontal="center" vertical="center" wrapText="1"/>
    </xf>
    <xf numFmtId="49" fontId="0" fillId="2" borderId="30" xfId="0" applyNumberFormat="1" applyFill="1" applyBorder="1" applyAlignment="1">
      <alignment horizontal="center" vertical="center"/>
    </xf>
    <xf numFmtId="49" fontId="1" fillId="2" borderId="29" xfId="0" applyNumberFormat="1" applyFont="1" applyFill="1" applyBorder="1" applyAlignment="1">
      <alignment horizontal="center" vertical="center"/>
    </xf>
    <xf numFmtId="49" fontId="0" fillId="2" borderId="37" xfId="0" applyNumberFormat="1" applyFill="1" applyBorder="1" applyAlignment="1">
      <alignment horizontal="center" vertical="center"/>
    </xf>
    <xf numFmtId="49" fontId="1" fillId="2" borderId="36" xfId="0" applyNumberFormat="1" applyFont="1" applyFill="1" applyBorder="1" applyAlignment="1">
      <alignment horizontal="center" vertical="center"/>
    </xf>
    <xf numFmtId="49" fontId="0" fillId="2" borderId="42" xfId="0" applyNumberFormat="1" applyFill="1" applyBorder="1" applyAlignment="1">
      <alignment horizontal="center" vertical="center"/>
    </xf>
    <xf numFmtId="49" fontId="1" fillId="2" borderId="7" xfId="0" applyNumberFormat="1" applyFont="1" applyFill="1" applyBorder="1" applyAlignment="1">
      <alignment horizontal="center" vertical="center"/>
    </xf>
    <xf numFmtId="49" fontId="0" fillId="2" borderId="46" xfId="0" applyNumberFormat="1" applyFill="1" applyBorder="1" applyAlignment="1">
      <alignment horizontal="center" vertical="center"/>
    </xf>
    <xf numFmtId="49" fontId="1" fillId="2" borderId="45" xfId="0" applyNumberFormat="1" applyFont="1" applyFill="1" applyBorder="1" applyAlignment="1">
      <alignment horizontal="center" vertical="center"/>
    </xf>
    <xf numFmtId="0" fontId="25" fillId="0" borderId="1" xfId="0" applyFont="1" applyBorder="1" applyAlignment="1">
      <alignment horizontal="center"/>
    </xf>
    <xf numFmtId="0" fontId="25" fillId="0" borderId="3" xfId="0" applyFont="1" applyBorder="1" applyAlignment="1">
      <alignment horizontal="center"/>
    </xf>
    <xf numFmtId="0" fontId="52" fillId="0" borderId="0" xfId="0" applyFont="1" applyAlignment="1">
      <alignment horizontal="center"/>
    </xf>
  </cellXfs>
  <cellStyles count="4">
    <cellStyle name="Comma 2" xfId="3" xr:uid="{00000000-0005-0000-0000-000000000000}"/>
    <cellStyle name="Normal" xfId="0" builtinId="0"/>
    <cellStyle name="Normal 2" xfId="1" xr:uid="{00000000-0005-0000-0000-000002000000}"/>
    <cellStyle name="Percent 2" xfId="2" xr:uid="{00000000-0005-0000-0000-000003000000}"/>
  </cellStyles>
  <dxfs count="54">
    <dxf>
      <font>
        <color auto="1"/>
      </font>
      <fill>
        <patternFill>
          <bgColor rgb="FFBDEF88"/>
        </patternFill>
      </fill>
    </dxf>
    <dxf>
      <font>
        <color auto="1"/>
      </font>
      <fill>
        <patternFill>
          <bgColor rgb="FFBDEF88"/>
        </patternFill>
      </fill>
    </dxf>
    <dxf>
      <font>
        <color auto="1"/>
      </font>
      <fill>
        <patternFill>
          <bgColor rgb="FFBDEF88"/>
        </patternFill>
      </fill>
    </dxf>
    <dxf>
      <font>
        <color auto="1"/>
      </font>
      <fill>
        <patternFill>
          <bgColor rgb="FFBDEF88"/>
        </patternFill>
      </fill>
    </dxf>
    <dxf>
      <font>
        <color auto="1"/>
      </font>
      <fill>
        <patternFill>
          <bgColor rgb="FFBDEF88"/>
        </patternFill>
      </fill>
    </dxf>
    <dxf>
      <font>
        <color auto="1"/>
      </font>
      <fill>
        <patternFill>
          <bgColor rgb="FFFF7F82"/>
        </patternFill>
      </fill>
    </dxf>
    <dxf>
      <font>
        <color auto="1"/>
      </font>
      <fill>
        <patternFill>
          <bgColor rgb="FFFFE07F"/>
        </patternFill>
      </fill>
    </dxf>
    <dxf>
      <font>
        <color auto="1"/>
      </font>
      <fill>
        <patternFill>
          <bgColor rgb="FF9ED068"/>
        </patternFill>
      </fill>
    </dxf>
    <dxf>
      <font>
        <color auto="1"/>
      </font>
      <fill>
        <patternFill>
          <bgColor rgb="FF9ED068"/>
        </patternFill>
      </fill>
    </dxf>
    <dxf>
      <font>
        <color auto="1"/>
      </font>
      <fill>
        <patternFill>
          <bgColor rgb="FFFFE07F"/>
        </patternFill>
      </fill>
    </dxf>
    <dxf>
      <font>
        <color auto="1"/>
      </font>
      <fill>
        <patternFill>
          <bgColor rgb="FFFF7F82"/>
        </patternFill>
      </fill>
    </dxf>
    <dxf>
      <font>
        <color auto="1"/>
      </font>
      <fill>
        <patternFill>
          <bgColor rgb="FFFF7F82"/>
        </patternFill>
      </fill>
    </dxf>
    <dxf>
      <font>
        <color auto="1"/>
      </font>
      <fill>
        <patternFill>
          <bgColor rgb="FFFFE07F"/>
        </patternFill>
      </fill>
    </dxf>
    <dxf>
      <font>
        <color auto="1"/>
      </font>
      <fill>
        <patternFill>
          <bgColor rgb="FF9ED068"/>
        </patternFill>
      </fill>
    </dxf>
    <dxf>
      <font>
        <color auto="1"/>
      </font>
      <fill>
        <patternFill>
          <bgColor rgb="FF9ED068"/>
        </patternFill>
      </fill>
    </dxf>
    <dxf>
      <font>
        <color auto="1"/>
      </font>
      <fill>
        <patternFill>
          <bgColor rgb="FFFFE07F"/>
        </patternFill>
      </fill>
    </dxf>
    <dxf>
      <font>
        <color auto="1"/>
      </font>
      <fill>
        <patternFill>
          <bgColor rgb="FFFF7F82"/>
        </patternFill>
      </fill>
    </dxf>
    <dxf>
      <font>
        <u val="none"/>
        <color theme="5"/>
      </font>
      <fill>
        <patternFill>
          <bgColor theme="7" tint="0.39994506668294322"/>
        </patternFill>
      </fill>
    </dxf>
    <dxf>
      <font>
        <u val="none"/>
        <color theme="5"/>
      </font>
      <fill>
        <patternFill>
          <bgColor theme="7" tint="0.39994506668294322"/>
        </patternFill>
      </fill>
    </dxf>
    <dxf>
      <font>
        <u val="none"/>
        <color theme="5"/>
      </font>
      <fill>
        <patternFill>
          <bgColor theme="7" tint="0.39994506668294322"/>
        </patternFill>
      </fill>
    </dxf>
    <dxf>
      <font>
        <u val="none"/>
        <color theme="5"/>
      </font>
      <fill>
        <patternFill>
          <bgColor theme="7" tint="0.39994506668294322"/>
        </patternFill>
      </fill>
    </dxf>
    <dxf>
      <font>
        <u val="none"/>
        <color theme="5"/>
      </font>
      <fill>
        <patternFill>
          <bgColor theme="7" tint="0.39994506668294322"/>
        </patternFill>
      </fill>
    </dxf>
    <dxf>
      <font>
        <u val="none"/>
        <color theme="5"/>
      </font>
      <fill>
        <patternFill>
          <bgColor theme="7" tint="0.39994506668294322"/>
        </patternFill>
      </fill>
    </dxf>
    <dxf>
      <font>
        <u val="none"/>
        <color theme="5"/>
      </font>
      <fill>
        <patternFill>
          <bgColor theme="7" tint="0.39994506668294322"/>
        </patternFill>
      </fill>
    </dxf>
    <dxf>
      <font>
        <color auto="1"/>
      </font>
      <fill>
        <patternFill>
          <bgColor rgb="FFFFFFC8"/>
        </patternFill>
      </fill>
    </dxf>
    <dxf>
      <font>
        <color auto="1"/>
      </font>
      <fill>
        <patternFill>
          <bgColor rgb="FFC7EEFF"/>
        </patternFill>
      </fill>
    </dxf>
    <dxf>
      <font>
        <u val="none"/>
        <color theme="5"/>
      </font>
      <fill>
        <patternFill>
          <bgColor theme="7" tint="0.39994506668294322"/>
        </patternFill>
      </fill>
    </dxf>
    <dxf>
      <font>
        <color auto="1"/>
      </font>
      <fill>
        <patternFill>
          <bgColor rgb="FFC7EEFF"/>
        </patternFill>
      </fill>
    </dxf>
    <dxf>
      <font>
        <color auto="1"/>
      </font>
      <fill>
        <patternFill>
          <bgColor rgb="FFFFFFC8"/>
        </patternFill>
      </fill>
    </dxf>
    <dxf>
      <font>
        <color auto="1"/>
      </font>
      <fill>
        <patternFill>
          <bgColor rgb="FFFFFFC8"/>
        </patternFill>
      </fill>
    </dxf>
    <dxf>
      <font>
        <color auto="1"/>
      </font>
      <fill>
        <patternFill>
          <bgColor rgb="FFC7EEFF"/>
        </patternFill>
      </fill>
    </dxf>
    <dxf>
      <font>
        <color auto="1"/>
      </font>
      <fill>
        <patternFill>
          <bgColor rgb="FFC7EEFF"/>
        </patternFill>
      </fill>
    </dxf>
    <dxf>
      <font>
        <color auto="1"/>
      </font>
      <fill>
        <patternFill>
          <bgColor rgb="FFFFFFC8"/>
        </patternFill>
      </fill>
    </dxf>
    <dxf>
      <font>
        <u val="none"/>
        <color theme="5"/>
      </font>
      <fill>
        <patternFill>
          <bgColor theme="7" tint="0.39994506668294322"/>
        </patternFill>
      </fill>
    </dxf>
    <dxf>
      <font>
        <u val="none"/>
        <color theme="5"/>
      </font>
      <fill>
        <patternFill>
          <bgColor theme="7" tint="0.39994506668294322"/>
        </patternFill>
      </fill>
    </dxf>
    <dxf>
      <alignment textRotation="0" wrapText="1" justifyLastLine="0" shrinkToFit="0" readingOrder="0"/>
      <protection locked="0"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center" vertical="center" textRotation="0" wrapText="0" indent="0" justifyLastLine="0" shrinkToFit="0" readingOrder="0"/>
      <protection locked="0" hidden="0"/>
    </dxf>
    <dxf>
      <numFmt numFmtId="0" formatCode="General"/>
      <protection locked="1" hidden="0"/>
    </dxf>
    <dxf>
      <numFmt numFmtId="13" formatCode="0%"/>
      <protection locked="0" hidden="0"/>
    </dxf>
    <dxf>
      <protection locked="0" hidden="0"/>
    </dxf>
    <dxf>
      <protection locked="0"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protection locked="0" hidden="0"/>
    </dxf>
    <dxf>
      <numFmt numFmtId="2" formatCode="0.00"/>
      <fill>
        <patternFill patternType="solid">
          <fgColor indexed="64"/>
          <bgColor theme="5" tint="0.79998168889431442"/>
        </patternFill>
      </fill>
      <protection locked="1" hidden="0"/>
    </dxf>
    <dxf>
      <font>
        <b val="0"/>
        <i val="0"/>
        <strike val="0"/>
        <condense val="0"/>
        <extend val="0"/>
        <outline val="0"/>
        <shadow val="0"/>
        <u val="none"/>
        <vertAlign val="baseline"/>
        <sz val="11"/>
        <color theme="1"/>
        <name val="Calibri"/>
        <scheme val="minor"/>
      </font>
      <numFmt numFmtId="164" formatCode="[$]dd/mm/yyyy;@"/>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theme="1"/>
        <name val="Calibri"/>
        <scheme val="minor"/>
      </font>
      <numFmt numFmtId="164" formatCode="[$]dd/mm/yyyy;@"/>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bottom" textRotation="0" wrapText="0" indent="0" justifyLastLine="0" shrinkToFit="0" readingOrder="0"/>
      <protection locked="0" hidden="0"/>
    </dxf>
    <dxf>
      <protection locked="0" hidden="0"/>
    </dxf>
    <dxf>
      <protection locked="0" hidden="0"/>
    </dxf>
    <dxf>
      <protection locked="0" hidden="0"/>
    </dxf>
    <dxf>
      <protection locked="0" hidden="0"/>
    </dxf>
    <dxf>
      <fill>
        <patternFill>
          <bgColor theme="0" tint="-4.9989318521683403E-2"/>
        </patternFill>
      </fill>
    </dxf>
    <dxf>
      <font>
        <strike val="0"/>
        <color theme="0"/>
      </font>
      <fill>
        <patternFill>
          <bgColor rgb="FF5B9BD5"/>
        </patternFill>
      </fill>
      <border>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dashed">
          <color auto="1"/>
        </vertical>
        <horizontal/>
      </border>
    </dxf>
  </dxfs>
  <tableStyles count="1" defaultTableStyle="TableStyleMedium2" defaultPivotStyle="PivotStyleLight16">
    <tableStyle name="SAP TABLE STYLE" pivot="0" count="3" xr9:uid="{00000000-0011-0000-FFFF-FFFF00000000}">
      <tableStyleElement type="wholeTable" dxfId="53"/>
      <tableStyleElement type="headerRow" dxfId="52"/>
      <tableStyleElement type="secondRowStripe" dxfId="51"/>
    </tableStyle>
  </tableStyles>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alcChain" Target="calcChain.xml"/><Relationship Id="rId5" Type="http://schemas.openxmlformats.org/officeDocument/2006/relationships/externalLink" Target="externalLinks/externalLink2.xml"/><Relationship Id="rId10" Type="http://schemas.openxmlformats.org/officeDocument/2006/relationships/sheetMetadata" Target="metadata.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mintl.net\userdata\Users\annalakomiec\Desktop\PMI\Colombia\Complexity%20calculator_Colombia_ISMS%20van%20loading.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mintl.net\userdata\PMI-CH-VDI-NPVDIRF\hpolasan\Desktop\ASM%20Modification\PMI%20Complexity%20Calculator%20-%20ASM%20Modification.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HemalathaPolasani/Downloads/OTC_BILLING_FEATURES%20SIZING_v1.1.xlsx" TargetMode="External"/><Relationship Id="rId1" Type="http://schemas.openxmlformats.org/officeDocument/2006/relationships/externalLinkPath" Target="/Users/HemalathaPolasani/Downloads/OTC_BILLING_FEATURES%20SIZING_v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ulator"/>
      <sheetName val="Feature and delivery timeline"/>
      <sheetName val="CHANGE LOG"/>
      <sheetName val="ISSUE TYPES"/>
      <sheetName val="Complexity calculator_Colombia_"/>
    </sheetNames>
    <sheetDataSet>
      <sheetData sheetId="0" refreshError="1"/>
      <sheetData sheetId="1" refreshError="1">
        <row r="10">
          <cell r="B10" t="str">
            <v>COMPLETED</v>
          </cell>
        </row>
        <row r="14">
          <cell r="B14" t="str">
            <v>MUST</v>
          </cell>
        </row>
        <row r="15">
          <cell r="B15" t="str">
            <v>SHOULD</v>
          </cell>
        </row>
      </sheetData>
      <sheetData sheetId="2" refreshError="1"/>
      <sheetData sheetId="3" refreshError="1">
        <row r="3">
          <cell r="B3" t="str">
            <v>ORIGINAL</v>
          </cell>
        </row>
        <row r="4">
          <cell r="B4" t="str">
            <v>NEW FEATURE</v>
          </cell>
        </row>
        <row r="5">
          <cell r="H5" t="str">
            <v>STATUS</v>
          </cell>
        </row>
        <row r="6">
          <cell r="G6">
            <v>0</v>
          </cell>
          <cell r="H6" t="str">
            <v>NOT STARTED</v>
          </cell>
        </row>
        <row r="7">
          <cell r="G7">
            <v>0.05</v>
          </cell>
          <cell r="H7" t="str">
            <v>IN RPOGRESS</v>
          </cell>
        </row>
        <row r="8">
          <cell r="G8">
            <v>1</v>
          </cell>
          <cell r="H8" t="str">
            <v>COMPLETED</v>
          </cell>
        </row>
      </sheetData>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ature and delivery timeline"/>
    </sheetNames>
    <sheetDataSet>
      <sheetData sheetId="0">
        <row r="10">
          <cell r="E10" t="str">
            <v>APPROVED</v>
          </cell>
        </row>
        <row r="11">
          <cell r="B11" t="str">
            <v>IN RPOGRESS</v>
          </cell>
          <cell r="E11" t="str">
            <v>REJECTED</v>
          </cell>
        </row>
        <row r="12">
          <cell r="B12" t="str">
            <v>NOT STARTED</v>
          </cell>
          <cell r="E12" t="str">
            <v>PENDING</v>
          </cell>
        </row>
        <row r="19">
          <cell r="G19">
            <v>0</v>
          </cell>
          <cell r="J19" t="str">
            <v>MUST</v>
          </cell>
          <cell r="L19" t="str">
            <v>IN RPOGRESS</v>
          </cell>
        </row>
        <row r="20">
          <cell r="G20">
            <v>0</v>
          </cell>
          <cell r="L20" t="str">
            <v/>
          </cell>
        </row>
        <row r="21">
          <cell r="G21">
            <v>0</v>
          </cell>
          <cell r="L21" t="str">
            <v/>
          </cell>
        </row>
        <row r="22">
          <cell r="G22">
            <v>0</v>
          </cell>
          <cell r="L22" t="str">
            <v/>
          </cell>
        </row>
        <row r="23">
          <cell r="G23">
            <v>0</v>
          </cell>
          <cell r="L23" t="str">
            <v/>
          </cell>
        </row>
        <row r="24">
          <cell r="G24">
            <v>0</v>
          </cell>
          <cell r="L24" t="str">
            <v/>
          </cell>
        </row>
        <row r="25">
          <cell r="G25">
            <v>0</v>
          </cell>
          <cell r="L25" t="str">
            <v/>
          </cell>
        </row>
        <row r="26">
          <cell r="G26">
            <v>0</v>
          </cell>
          <cell r="L26" t="str">
            <v/>
          </cell>
        </row>
        <row r="27">
          <cell r="G27">
            <v>0</v>
          </cell>
          <cell r="L27" t="str">
            <v/>
          </cell>
        </row>
        <row r="28">
          <cell r="G28">
            <v>0</v>
          </cell>
          <cell r="L28" t="str">
            <v/>
          </cell>
        </row>
        <row r="29">
          <cell r="G29">
            <v>0</v>
          </cell>
          <cell r="L29" t="str">
            <v/>
          </cell>
        </row>
        <row r="30">
          <cell r="G30">
            <v>0</v>
          </cell>
          <cell r="L30" t="str">
            <v/>
          </cell>
        </row>
        <row r="31">
          <cell r="G31">
            <v>0</v>
          </cell>
          <cell r="L31" t="str">
            <v/>
          </cell>
        </row>
        <row r="32">
          <cell r="G32">
            <v>0</v>
          </cell>
          <cell r="L32" t="str">
            <v/>
          </cell>
        </row>
        <row r="33">
          <cell r="G33">
            <v>0</v>
          </cell>
          <cell r="L33" t="str">
            <v/>
          </cell>
        </row>
        <row r="34">
          <cell r="G34">
            <v>0</v>
          </cell>
          <cell r="L34" t="str">
            <v/>
          </cell>
        </row>
        <row r="35">
          <cell r="G35">
            <v>0</v>
          </cell>
          <cell r="L35" t="str">
            <v/>
          </cell>
        </row>
        <row r="36">
          <cell r="G36">
            <v>0</v>
          </cell>
          <cell r="L36" t="str">
            <v/>
          </cell>
        </row>
        <row r="37">
          <cell r="G37">
            <v>0</v>
          </cell>
          <cell r="L37" t="str">
            <v/>
          </cell>
        </row>
        <row r="38">
          <cell r="G38">
            <v>0</v>
          </cell>
          <cell r="L38" t="str">
            <v/>
          </cell>
        </row>
        <row r="39">
          <cell r="G39">
            <v>0</v>
          </cell>
          <cell r="L39" t="str">
            <v/>
          </cell>
        </row>
        <row r="40">
          <cell r="G40">
            <v>0</v>
          </cell>
          <cell r="L40" t="str">
            <v/>
          </cell>
        </row>
        <row r="41">
          <cell r="G41">
            <v>0</v>
          </cell>
          <cell r="L41" t="str">
            <v/>
          </cell>
        </row>
        <row r="42">
          <cell r="G42">
            <v>0</v>
          </cell>
          <cell r="L42" t="str">
            <v/>
          </cell>
        </row>
        <row r="43">
          <cell r="G43">
            <v>0</v>
          </cell>
          <cell r="L43" t="str">
            <v/>
          </cell>
        </row>
        <row r="44">
          <cell r="G44">
            <v>0</v>
          </cell>
          <cell r="L44" t="str">
            <v/>
          </cell>
        </row>
        <row r="45">
          <cell r="G45">
            <v>0</v>
          </cell>
          <cell r="L45" t="str">
            <v/>
          </cell>
        </row>
        <row r="46">
          <cell r="G46">
            <v>0</v>
          </cell>
          <cell r="L46" t="str">
            <v/>
          </cell>
        </row>
        <row r="47">
          <cell r="G47">
            <v>0</v>
          </cell>
          <cell r="L47" t="str">
            <v/>
          </cell>
        </row>
        <row r="48">
          <cell r="G48">
            <v>0</v>
          </cell>
          <cell r="L48" t="str">
            <v/>
          </cell>
        </row>
        <row r="49">
          <cell r="G49">
            <v>0</v>
          </cell>
          <cell r="L49" t="str">
            <v/>
          </cell>
        </row>
        <row r="50">
          <cell r="G50">
            <v>0</v>
          </cell>
          <cell r="L50" t="str">
            <v/>
          </cell>
        </row>
        <row r="51">
          <cell r="G51">
            <v>0</v>
          </cell>
          <cell r="L51" t="str">
            <v/>
          </cell>
        </row>
        <row r="52">
          <cell r="G52">
            <v>0</v>
          </cell>
          <cell r="L52" t="str">
            <v/>
          </cell>
        </row>
        <row r="53">
          <cell r="G53">
            <v>0</v>
          </cell>
          <cell r="L53" t="str">
            <v/>
          </cell>
        </row>
        <row r="54">
          <cell r="G54">
            <v>0</v>
          </cell>
          <cell r="L54" t="str">
            <v/>
          </cell>
        </row>
        <row r="55">
          <cell r="G55">
            <v>0</v>
          </cell>
          <cell r="L55" t="str">
            <v/>
          </cell>
        </row>
        <row r="56">
          <cell r="G56">
            <v>0</v>
          </cell>
          <cell r="L56" t="str">
            <v/>
          </cell>
        </row>
        <row r="57">
          <cell r="G57">
            <v>0</v>
          </cell>
          <cell r="L57" t="str">
            <v/>
          </cell>
        </row>
        <row r="58">
          <cell r="G58">
            <v>0</v>
          </cell>
          <cell r="L58" t="str">
            <v/>
          </cell>
        </row>
        <row r="59">
          <cell r="G59">
            <v>0</v>
          </cell>
          <cell r="L59" t="str">
            <v/>
          </cell>
        </row>
        <row r="60">
          <cell r="G60">
            <v>0</v>
          </cell>
          <cell r="L60" t="str">
            <v/>
          </cell>
        </row>
        <row r="61">
          <cell r="G61">
            <v>0</v>
          </cell>
          <cell r="L61" t="str">
            <v/>
          </cell>
        </row>
        <row r="62">
          <cell r="G62">
            <v>0</v>
          </cell>
          <cell r="L62" t="str">
            <v/>
          </cell>
        </row>
        <row r="63">
          <cell r="G63">
            <v>0</v>
          </cell>
          <cell r="L63" t="str">
            <v/>
          </cell>
        </row>
        <row r="64">
          <cell r="G64">
            <v>0</v>
          </cell>
          <cell r="L64" t="str">
            <v/>
          </cell>
        </row>
        <row r="65">
          <cell r="G65">
            <v>0</v>
          </cell>
          <cell r="L65" t="str">
            <v/>
          </cell>
        </row>
        <row r="66">
          <cell r="G66">
            <v>0</v>
          </cell>
          <cell r="L66" t="str">
            <v/>
          </cell>
        </row>
        <row r="67">
          <cell r="G67">
            <v>0</v>
          </cell>
          <cell r="L67" t="str">
            <v/>
          </cell>
        </row>
        <row r="68">
          <cell r="G68">
            <v>0</v>
          </cell>
          <cell r="L68" t="str">
            <v/>
          </cell>
        </row>
        <row r="69">
          <cell r="G69">
            <v>0</v>
          </cell>
          <cell r="L69" t="str">
            <v/>
          </cell>
        </row>
        <row r="70">
          <cell r="G70">
            <v>0</v>
          </cell>
          <cell r="L70" t="str">
            <v/>
          </cell>
        </row>
        <row r="71">
          <cell r="G71">
            <v>0</v>
          </cell>
          <cell r="L71" t="str">
            <v/>
          </cell>
        </row>
        <row r="72">
          <cell r="G72">
            <v>0</v>
          </cell>
          <cell r="L72" t="str">
            <v/>
          </cell>
        </row>
        <row r="73">
          <cell r="G73">
            <v>0</v>
          </cell>
          <cell r="L73" t="str">
            <v/>
          </cell>
        </row>
        <row r="74">
          <cell r="G74">
            <v>0</v>
          </cell>
          <cell r="L74" t="str">
            <v/>
          </cell>
        </row>
        <row r="75">
          <cell r="G75">
            <v>0</v>
          </cell>
          <cell r="L75" t="str">
            <v/>
          </cell>
        </row>
        <row r="76">
          <cell r="G76">
            <v>0</v>
          </cell>
          <cell r="L76" t="str">
            <v/>
          </cell>
        </row>
        <row r="77">
          <cell r="G77">
            <v>0</v>
          </cell>
          <cell r="L77" t="str">
            <v/>
          </cell>
        </row>
        <row r="78">
          <cell r="G78">
            <v>0</v>
          </cell>
          <cell r="L78" t="str">
            <v/>
          </cell>
        </row>
        <row r="79">
          <cell r="G79">
            <v>0</v>
          </cell>
          <cell r="L79" t="str">
            <v/>
          </cell>
        </row>
        <row r="80">
          <cell r="G80">
            <v>0</v>
          </cell>
          <cell r="L80" t="str">
            <v/>
          </cell>
        </row>
        <row r="81">
          <cell r="G81">
            <v>0</v>
          </cell>
          <cell r="L81" t="str">
            <v/>
          </cell>
        </row>
        <row r="82">
          <cell r="G82">
            <v>0</v>
          </cell>
          <cell r="L82" t="str">
            <v/>
          </cell>
        </row>
        <row r="83">
          <cell r="G83">
            <v>0</v>
          </cell>
          <cell r="L83" t="str">
            <v/>
          </cell>
        </row>
        <row r="84">
          <cell r="G84">
            <v>0</v>
          </cell>
          <cell r="L84" t="str">
            <v/>
          </cell>
        </row>
        <row r="85">
          <cell r="G85">
            <v>0</v>
          </cell>
          <cell r="L85" t="str">
            <v/>
          </cell>
        </row>
        <row r="86">
          <cell r="G86">
            <v>0</v>
          </cell>
          <cell r="L86" t="str">
            <v/>
          </cell>
        </row>
        <row r="87">
          <cell r="G87">
            <v>0</v>
          </cell>
          <cell r="L87" t="str">
            <v/>
          </cell>
        </row>
        <row r="88">
          <cell r="G88">
            <v>0</v>
          </cell>
          <cell r="L88" t="str">
            <v/>
          </cell>
        </row>
        <row r="89">
          <cell r="G89">
            <v>0</v>
          </cell>
          <cell r="L89" t="str">
            <v/>
          </cell>
        </row>
        <row r="90">
          <cell r="G90">
            <v>0</v>
          </cell>
          <cell r="L90" t="str">
            <v/>
          </cell>
        </row>
        <row r="91">
          <cell r="G91">
            <v>0</v>
          </cell>
          <cell r="L91" t="str">
            <v/>
          </cell>
        </row>
        <row r="92">
          <cell r="G92">
            <v>0</v>
          </cell>
          <cell r="L92" t="str">
            <v/>
          </cell>
        </row>
        <row r="93">
          <cell r="G93">
            <v>0</v>
          </cell>
          <cell r="L93" t="str">
            <v/>
          </cell>
        </row>
        <row r="94">
          <cell r="G94">
            <v>0</v>
          </cell>
          <cell r="L94" t="str">
            <v/>
          </cell>
        </row>
        <row r="95">
          <cell r="G95">
            <v>0</v>
          </cell>
          <cell r="L95" t="str">
            <v/>
          </cell>
        </row>
        <row r="96">
          <cell r="G96">
            <v>0</v>
          </cell>
          <cell r="L96" t="str">
            <v/>
          </cell>
        </row>
        <row r="97">
          <cell r="G97">
            <v>0</v>
          </cell>
          <cell r="L97" t="str">
            <v/>
          </cell>
        </row>
        <row r="98">
          <cell r="G98">
            <v>0</v>
          </cell>
          <cell r="L98" t="str">
            <v/>
          </cell>
        </row>
        <row r="99">
          <cell r="G99">
            <v>0</v>
          </cell>
          <cell r="L99" t="str">
            <v/>
          </cell>
        </row>
        <row r="100">
          <cell r="G100">
            <v>0</v>
          </cell>
          <cell r="L100" t="str">
            <v/>
          </cell>
        </row>
        <row r="101">
          <cell r="G101">
            <v>0</v>
          </cell>
          <cell r="L101" t="str">
            <v/>
          </cell>
        </row>
        <row r="102">
          <cell r="G102">
            <v>0</v>
          </cell>
          <cell r="L102" t="str">
            <v/>
          </cell>
        </row>
        <row r="103">
          <cell r="G103">
            <v>0</v>
          </cell>
          <cell r="L103" t="str">
            <v/>
          </cell>
        </row>
        <row r="104">
          <cell r="G104">
            <v>0</v>
          </cell>
          <cell r="L104" t="str">
            <v/>
          </cell>
        </row>
        <row r="105">
          <cell r="G105">
            <v>0</v>
          </cell>
          <cell r="L105" t="str">
            <v/>
          </cell>
        </row>
        <row r="106">
          <cell r="G106">
            <v>0</v>
          </cell>
          <cell r="L106" t="str">
            <v/>
          </cell>
        </row>
        <row r="107">
          <cell r="G107">
            <v>0</v>
          </cell>
          <cell r="L107" t="str">
            <v/>
          </cell>
        </row>
        <row r="108">
          <cell r="G108">
            <v>0</v>
          </cell>
          <cell r="L108" t="str">
            <v/>
          </cell>
        </row>
        <row r="109">
          <cell r="G109">
            <v>0</v>
          </cell>
          <cell r="L109" t="str">
            <v/>
          </cell>
        </row>
        <row r="110">
          <cell r="G110">
            <v>0</v>
          </cell>
          <cell r="L110" t="str">
            <v/>
          </cell>
        </row>
        <row r="111">
          <cell r="G111">
            <v>0</v>
          </cell>
          <cell r="L111" t="str">
            <v/>
          </cell>
        </row>
        <row r="112">
          <cell r="G112">
            <v>0</v>
          </cell>
          <cell r="L112" t="str">
            <v/>
          </cell>
        </row>
        <row r="113">
          <cell r="G113">
            <v>0</v>
          </cell>
          <cell r="L113" t="str">
            <v/>
          </cell>
        </row>
        <row r="114">
          <cell r="G114">
            <v>0</v>
          </cell>
          <cell r="L114" t="str">
            <v/>
          </cell>
        </row>
        <row r="115">
          <cell r="G115">
            <v>0</v>
          </cell>
          <cell r="L115" t="str">
            <v/>
          </cell>
        </row>
        <row r="116">
          <cell r="G116">
            <v>0</v>
          </cell>
          <cell r="L116" t="str">
            <v/>
          </cell>
        </row>
        <row r="117">
          <cell r="G117">
            <v>0</v>
          </cell>
          <cell r="L117" t="str">
            <v/>
          </cell>
        </row>
        <row r="118">
          <cell r="G118">
            <v>0</v>
          </cell>
          <cell r="L118" t="str">
            <v/>
          </cell>
        </row>
        <row r="119">
          <cell r="G119">
            <v>0</v>
          </cell>
          <cell r="L119" t="str">
            <v/>
          </cell>
        </row>
        <row r="120">
          <cell r="G120">
            <v>0</v>
          </cell>
          <cell r="L120" t="str">
            <v/>
          </cell>
        </row>
        <row r="121">
          <cell r="G121">
            <v>0</v>
          </cell>
          <cell r="L121" t="str">
            <v/>
          </cell>
        </row>
        <row r="122">
          <cell r="G122">
            <v>0</v>
          </cell>
          <cell r="L122" t="str">
            <v/>
          </cell>
        </row>
        <row r="123">
          <cell r="G123">
            <v>0</v>
          </cell>
          <cell r="L123" t="str">
            <v/>
          </cell>
        </row>
        <row r="124">
          <cell r="G124">
            <v>0</v>
          </cell>
          <cell r="L124" t="str">
            <v/>
          </cell>
        </row>
        <row r="125">
          <cell r="G125">
            <v>0</v>
          </cell>
          <cell r="L125" t="str">
            <v/>
          </cell>
        </row>
        <row r="126">
          <cell r="G126">
            <v>0</v>
          </cell>
          <cell r="L126" t="str">
            <v/>
          </cell>
        </row>
        <row r="127">
          <cell r="G127">
            <v>0</v>
          </cell>
          <cell r="L127" t="str">
            <v/>
          </cell>
        </row>
        <row r="128">
          <cell r="G128">
            <v>0</v>
          </cell>
          <cell r="L128" t="str">
            <v/>
          </cell>
        </row>
        <row r="129">
          <cell r="G129">
            <v>0</v>
          </cell>
          <cell r="L129" t="str">
            <v/>
          </cell>
        </row>
        <row r="130">
          <cell r="G130">
            <v>0</v>
          </cell>
          <cell r="L130" t="str">
            <v/>
          </cell>
        </row>
        <row r="131">
          <cell r="G131">
            <v>0</v>
          </cell>
          <cell r="L131" t="str">
            <v/>
          </cell>
        </row>
        <row r="132">
          <cell r="G132">
            <v>0</v>
          </cell>
          <cell r="L132" t="str">
            <v/>
          </cell>
        </row>
        <row r="133">
          <cell r="G133">
            <v>0</v>
          </cell>
          <cell r="L133" t="str">
            <v/>
          </cell>
        </row>
        <row r="134">
          <cell r="G134">
            <v>0</v>
          </cell>
          <cell r="L134" t="str">
            <v/>
          </cell>
        </row>
        <row r="135">
          <cell r="G135">
            <v>0</v>
          </cell>
          <cell r="L135" t="str">
            <v/>
          </cell>
        </row>
        <row r="136">
          <cell r="G136">
            <v>0</v>
          </cell>
          <cell r="L136" t="str">
            <v/>
          </cell>
        </row>
        <row r="137">
          <cell r="G137">
            <v>0</v>
          </cell>
          <cell r="L137" t="str">
            <v/>
          </cell>
        </row>
        <row r="138">
          <cell r="G138">
            <v>0</v>
          </cell>
          <cell r="L138" t="str">
            <v/>
          </cell>
        </row>
        <row r="139">
          <cell r="G139">
            <v>0</v>
          </cell>
          <cell r="L139" t="str">
            <v/>
          </cell>
        </row>
        <row r="140">
          <cell r="G140">
            <v>0</v>
          </cell>
          <cell r="L140" t="str">
            <v/>
          </cell>
        </row>
        <row r="141">
          <cell r="G141">
            <v>0</v>
          </cell>
          <cell r="L141" t="str">
            <v/>
          </cell>
        </row>
        <row r="142">
          <cell r="G142">
            <v>0</v>
          </cell>
          <cell r="L142" t="str">
            <v/>
          </cell>
        </row>
        <row r="143">
          <cell r="G143">
            <v>0</v>
          </cell>
          <cell r="L143" t="str">
            <v/>
          </cell>
        </row>
        <row r="144">
          <cell r="G144">
            <v>0</v>
          </cell>
          <cell r="L144" t="str">
            <v/>
          </cell>
        </row>
        <row r="145">
          <cell r="G145">
            <v>0</v>
          </cell>
          <cell r="L145" t="str">
            <v/>
          </cell>
        </row>
        <row r="146">
          <cell r="G146">
            <v>0</v>
          </cell>
          <cell r="L146" t="str">
            <v/>
          </cell>
        </row>
        <row r="147">
          <cell r="G147">
            <v>0</v>
          </cell>
          <cell r="L147" t="str">
            <v/>
          </cell>
        </row>
        <row r="148">
          <cell r="G148">
            <v>0</v>
          </cell>
          <cell r="L148" t="str">
            <v/>
          </cell>
        </row>
        <row r="149">
          <cell r="G149">
            <v>0</v>
          </cell>
          <cell r="L149" t="str">
            <v/>
          </cell>
        </row>
        <row r="150">
          <cell r="G150">
            <v>0</v>
          </cell>
          <cell r="L150" t="str">
            <v/>
          </cell>
        </row>
        <row r="151">
          <cell r="G151">
            <v>0</v>
          </cell>
          <cell r="L151" t="str">
            <v/>
          </cell>
        </row>
        <row r="152">
          <cell r="G152">
            <v>0</v>
          </cell>
          <cell r="L152" t="str">
            <v/>
          </cell>
        </row>
        <row r="153">
          <cell r="G153">
            <v>0</v>
          </cell>
          <cell r="L153" t="str">
            <v/>
          </cell>
        </row>
        <row r="154">
          <cell r="G154">
            <v>0</v>
          </cell>
          <cell r="L154" t="str">
            <v/>
          </cell>
        </row>
        <row r="155">
          <cell r="G155">
            <v>0</v>
          </cell>
          <cell r="L155" t="str">
            <v/>
          </cell>
        </row>
        <row r="156">
          <cell r="G156">
            <v>0</v>
          </cell>
          <cell r="L156" t="str">
            <v/>
          </cell>
        </row>
        <row r="157">
          <cell r="G157">
            <v>0</v>
          </cell>
          <cell r="L157" t="str">
            <v/>
          </cell>
        </row>
        <row r="158">
          <cell r="G158">
            <v>0</v>
          </cell>
          <cell r="L158" t="str">
            <v/>
          </cell>
        </row>
        <row r="159">
          <cell r="G159">
            <v>0</v>
          </cell>
          <cell r="L159" t="str">
            <v/>
          </cell>
        </row>
        <row r="160">
          <cell r="G160">
            <v>0</v>
          </cell>
          <cell r="L160" t="str">
            <v/>
          </cell>
        </row>
        <row r="161">
          <cell r="G161">
            <v>0</v>
          </cell>
          <cell r="L161" t="str">
            <v/>
          </cell>
        </row>
        <row r="162">
          <cell r="G162">
            <v>0</v>
          </cell>
          <cell r="L162" t="str">
            <v/>
          </cell>
        </row>
        <row r="163">
          <cell r="G163">
            <v>0</v>
          </cell>
          <cell r="L163" t="str">
            <v/>
          </cell>
        </row>
        <row r="164">
          <cell r="G164">
            <v>0</v>
          </cell>
          <cell r="L164" t="str">
            <v/>
          </cell>
        </row>
        <row r="165">
          <cell r="G165">
            <v>0</v>
          </cell>
          <cell r="L165" t="str">
            <v/>
          </cell>
        </row>
        <row r="166">
          <cell r="G166">
            <v>0</v>
          </cell>
          <cell r="L166" t="str">
            <v/>
          </cell>
        </row>
        <row r="167">
          <cell r="G167">
            <v>0</v>
          </cell>
          <cell r="L167" t="str">
            <v/>
          </cell>
        </row>
        <row r="168">
          <cell r="G168">
            <v>0</v>
          </cell>
          <cell r="L168" t="str">
            <v/>
          </cell>
        </row>
        <row r="169">
          <cell r="G169">
            <v>0</v>
          </cell>
          <cell r="L169" t="str">
            <v/>
          </cell>
        </row>
        <row r="170">
          <cell r="G170">
            <v>0</v>
          </cell>
          <cell r="L170" t="str">
            <v/>
          </cell>
        </row>
        <row r="171">
          <cell r="G171">
            <v>0</v>
          </cell>
          <cell r="L171" t="str">
            <v/>
          </cell>
        </row>
        <row r="172">
          <cell r="G172">
            <v>0</v>
          </cell>
          <cell r="L172" t="str">
            <v/>
          </cell>
        </row>
        <row r="173">
          <cell r="G173">
            <v>0</v>
          </cell>
          <cell r="L173" t="str">
            <v/>
          </cell>
        </row>
        <row r="174">
          <cell r="G174">
            <v>0</v>
          </cell>
          <cell r="L174" t="str">
            <v/>
          </cell>
        </row>
        <row r="175">
          <cell r="G175">
            <v>0</v>
          </cell>
          <cell r="L175" t="str">
            <v/>
          </cell>
        </row>
        <row r="176">
          <cell r="G176">
            <v>0</v>
          </cell>
          <cell r="L176" t="str">
            <v/>
          </cell>
        </row>
        <row r="177">
          <cell r="G177">
            <v>0</v>
          </cell>
          <cell r="L177" t="str">
            <v/>
          </cell>
        </row>
        <row r="178">
          <cell r="G178">
            <v>0</v>
          </cell>
          <cell r="L178" t="str">
            <v/>
          </cell>
        </row>
        <row r="179">
          <cell r="G179">
            <v>0</v>
          </cell>
          <cell r="L179" t="str">
            <v/>
          </cell>
        </row>
        <row r="180">
          <cell r="G180">
            <v>0</v>
          </cell>
          <cell r="L180" t="str">
            <v/>
          </cell>
        </row>
        <row r="181">
          <cell r="G181">
            <v>0</v>
          </cell>
          <cell r="L181" t="str">
            <v/>
          </cell>
        </row>
        <row r="182">
          <cell r="G182">
            <v>0</v>
          </cell>
          <cell r="L182" t="str">
            <v/>
          </cell>
        </row>
        <row r="183">
          <cell r="G183">
            <v>0</v>
          </cell>
          <cell r="L183" t="str">
            <v/>
          </cell>
        </row>
        <row r="184">
          <cell r="G184">
            <v>0</v>
          </cell>
          <cell r="L184" t="str">
            <v/>
          </cell>
        </row>
        <row r="185">
          <cell r="G185">
            <v>0</v>
          </cell>
          <cell r="L185" t="str">
            <v/>
          </cell>
        </row>
        <row r="186">
          <cell r="G186">
            <v>0</v>
          </cell>
          <cell r="L186" t="str">
            <v/>
          </cell>
        </row>
        <row r="187">
          <cell r="G187">
            <v>0</v>
          </cell>
          <cell r="L187" t="str">
            <v/>
          </cell>
        </row>
        <row r="188">
          <cell r="G188">
            <v>0</v>
          </cell>
          <cell r="L188" t="str">
            <v/>
          </cell>
        </row>
        <row r="189">
          <cell r="G189">
            <v>0</v>
          </cell>
          <cell r="L189" t="str">
            <v/>
          </cell>
        </row>
        <row r="190">
          <cell r="G190">
            <v>0</v>
          </cell>
          <cell r="L190" t="str">
            <v/>
          </cell>
        </row>
        <row r="191">
          <cell r="G191">
            <v>0</v>
          </cell>
          <cell r="L191" t="str">
            <v/>
          </cell>
        </row>
        <row r="192">
          <cell r="G192">
            <v>0</v>
          </cell>
          <cell r="L192" t="str">
            <v/>
          </cell>
        </row>
        <row r="193">
          <cell r="G193">
            <v>0</v>
          </cell>
          <cell r="L193" t="str">
            <v/>
          </cell>
        </row>
        <row r="194">
          <cell r="G194">
            <v>0</v>
          </cell>
          <cell r="L194" t="str">
            <v/>
          </cell>
        </row>
        <row r="195">
          <cell r="G195">
            <v>0</v>
          </cell>
          <cell r="L195" t="str">
            <v/>
          </cell>
        </row>
        <row r="196">
          <cell r="G196">
            <v>0</v>
          </cell>
          <cell r="L196" t="str">
            <v/>
          </cell>
        </row>
        <row r="197">
          <cell r="G197">
            <v>0</v>
          </cell>
          <cell r="L197" t="str">
            <v/>
          </cell>
        </row>
        <row r="198">
          <cell r="G198">
            <v>0</v>
          </cell>
          <cell r="L198" t="str">
            <v/>
          </cell>
        </row>
        <row r="199">
          <cell r="G199">
            <v>0</v>
          </cell>
          <cell r="L199" t="str">
            <v/>
          </cell>
        </row>
        <row r="200">
          <cell r="G200">
            <v>0</v>
          </cell>
          <cell r="L200" t="str">
            <v/>
          </cell>
        </row>
        <row r="201">
          <cell r="G201">
            <v>0</v>
          </cell>
          <cell r="L201" t="str">
            <v/>
          </cell>
        </row>
        <row r="202">
          <cell r="G202">
            <v>0</v>
          </cell>
          <cell r="L202" t="str">
            <v/>
          </cell>
        </row>
        <row r="203">
          <cell r="G203">
            <v>0</v>
          </cell>
          <cell r="L203" t="str">
            <v/>
          </cell>
        </row>
        <row r="204">
          <cell r="G204">
            <v>0</v>
          </cell>
          <cell r="L204" t="str">
            <v/>
          </cell>
        </row>
        <row r="205">
          <cell r="G205">
            <v>0</v>
          </cell>
          <cell r="L205" t="str">
            <v/>
          </cell>
        </row>
        <row r="206">
          <cell r="G206">
            <v>0</v>
          </cell>
          <cell r="L206" t="str">
            <v/>
          </cell>
        </row>
        <row r="207">
          <cell r="G207">
            <v>0</v>
          </cell>
          <cell r="L207" t="str">
            <v/>
          </cell>
        </row>
        <row r="208">
          <cell r="G208">
            <v>0</v>
          </cell>
          <cell r="L208" t="str">
            <v/>
          </cell>
        </row>
        <row r="209">
          <cell r="G209">
            <v>0</v>
          </cell>
          <cell r="L209" t="str">
            <v/>
          </cell>
        </row>
        <row r="210">
          <cell r="G210">
            <v>0</v>
          </cell>
          <cell r="L210" t="str">
            <v/>
          </cell>
        </row>
        <row r="211">
          <cell r="G211">
            <v>0</v>
          </cell>
          <cell r="L211" t="str">
            <v/>
          </cell>
        </row>
        <row r="212">
          <cell r="G212">
            <v>0</v>
          </cell>
          <cell r="L212" t="str">
            <v/>
          </cell>
        </row>
        <row r="213">
          <cell r="G213">
            <v>0</v>
          </cell>
          <cell r="L213" t="str">
            <v/>
          </cell>
        </row>
        <row r="214">
          <cell r="G214">
            <v>0</v>
          </cell>
          <cell r="L214" t="str">
            <v/>
          </cell>
        </row>
        <row r="215">
          <cell r="G215">
            <v>0</v>
          </cell>
          <cell r="L215" t="str">
            <v/>
          </cell>
        </row>
        <row r="216">
          <cell r="G216">
            <v>0</v>
          </cell>
          <cell r="L216" t="str">
            <v/>
          </cell>
        </row>
        <row r="217">
          <cell r="G217">
            <v>0</v>
          </cell>
          <cell r="L217" t="str">
            <v/>
          </cell>
        </row>
        <row r="218">
          <cell r="G218">
            <v>0</v>
          </cell>
          <cell r="L218" t="str">
            <v/>
          </cell>
        </row>
        <row r="219">
          <cell r="G219">
            <v>0</v>
          </cell>
          <cell r="L219" t="str">
            <v/>
          </cell>
        </row>
        <row r="220">
          <cell r="G220">
            <v>0</v>
          </cell>
          <cell r="L220" t="str">
            <v/>
          </cell>
        </row>
        <row r="221">
          <cell r="G221">
            <v>0</v>
          </cell>
          <cell r="L221" t="str">
            <v/>
          </cell>
        </row>
        <row r="222">
          <cell r="G222">
            <v>0</v>
          </cell>
          <cell r="L222" t="str">
            <v/>
          </cell>
        </row>
        <row r="223">
          <cell r="G223">
            <v>0</v>
          </cell>
          <cell r="L223" t="str">
            <v/>
          </cell>
        </row>
        <row r="224">
          <cell r="G224">
            <v>0</v>
          </cell>
          <cell r="L224" t="str">
            <v/>
          </cell>
        </row>
        <row r="225">
          <cell r="G225">
            <v>0</v>
          </cell>
          <cell r="L225" t="str">
            <v/>
          </cell>
        </row>
        <row r="226">
          <cell r="G226">
            <v>0</v>
          </cell>
          <cell r="L226" t="str">
            <v/>
          </cell>
        </row>
        <row r="227">
          <cell r="G227">
            <v>0</v>
          </cell>
          <cell r="L227" t="str">
            <v/>
          </cell>
        </row>
        <row r="228">
          <cell r="G228">
            <v>0</v>
          </cell>
          <cell r="L228" t="str">
            <v/>
          </cell>
        </row>
        <row r="229">
          <cell r="G229">
            <v>0</v>
          </cell>
          <cell r="L229" t="str">
            <v/>
          </cell>
        </row>
        <row r="230">
          <cell r="G230">
            <v>0</v>
          </cell>
          <cell r="L230" t="str">
            <v/>
          </cell>
        </row>
        <row r="231">
          <cell r="G231">
            <v>0</v>
          </cell>
          <cell r="L231" t="str">
            <v/>
          </cell>
        </row>
        <row r="232">
          <cell r="G232">
            <v>0</v>
          </cell>
          <cell r="L232" t="str">
            <v/>
          </cell>
        </row>
        <row r="233">
          <cell r="G233">
            <v>0</v>
          </cell>
          <cell r="L233" t="str">
            <v/>
          </cell>
        </row>
        <row r="234">
          <cell r="G234">
            <v>0</v>
          </cell>
          <cell r="L234" t="str">
            <v/>
          </cell>
        </row>
        <row r="235">
          <cell r="G235">
            <v>0</v>
          </cell>
          <cell r="L235" t="str">
            <v/>
          </cell>
        </row>
        <row r="236">
          <cell r="G236">
            <v>0</v>
          </cell>
          <cell r="L236" t="str">
            <v/>
          </cell>
        </row>
        <row r="237">
          <cell r="G237">
            <v>0</v>
          </cell>
          <cell r="L237" t="str">
            <v/>
          </cell>
        </row>
        <row r="238">
          <cell r="G238">
            <v>0</v>
          </cell>
          <cell r="L238" t="str">
            <v/>
          </cell>
        </row>
        <row r="239">
          <cell r="G239">
            <v>0</v>
          </cell>
          <cell r="L239" t="str">
            <v/>
          </cell>
        </row>
        <row r="240">
          <cell r="G240">
            <v>0</v>
          </cell>
          <cell r="L240" t="str">
            <v/>
          </cell>
        </row>
        <row r="241">
          <cell r="G241">
            <v>0</v>
          </cell>
          <cell r="L241" t="str">
            <v/>
          </cell>
        </row>
        <row r="242">
          <cell r="G242">
            <v>0</v>
          </cell>
          <cell r="L242" t="str">
            <v/>
          </cell>
        </row>
        <row r="243">
          <cell r="G243">
            <v>0</v>
          </cell>
          <cell r="L243" t="str">
            <v/>
          </cell>
        </row>
        <row r="244">
          <cell r="G244">
            <v>0</v>
          </cell>
          <cell r="L244" t="str">
            <v/>
          </cell>
        </row>
        <row r="245">
          <cell r="G245">
            <v>0</v>
          </cell>
          <cell r="L245" t="str">
            <v/>
          </cell>
        </row>
        <row r="246">
          <cell r="G246">
            <v>0</v>
          </cell>
          <cell r="L246" t="str">
            <v/>
          </cell>
        </row>
        <row r="247">
          <cell r="G247">
            <v>0</v>
          </cell>
          <cell r="L247" t="str">
            <v/>
          </cell>
        </row>
        <row r="248">
          <cell r="G248">
            <v>0</v>
          </cell>
          <cell r="L248" t="str">
            <v/>
          </cell>
        </row>
        <row r="249">
          <cell r="G249">
            <v>0</v>
          </cell>
          <cell r="L249" t="str">
            <v/>
          </cell>
        </row>
        <row r="250">
          <cell r="G250">
            <v>0</v>
          </cell>
          <cell r="L250" t="str">
            <v/>
          </cell>
        </row>
        <row r="251">
          <cell r="G251">
            <v>0</v>
          </cell>
          <cell r="L251" t="str">
            <v/>
          </cell>
        </row>
        <row r="252">
          <cell r="G252">
            <v>0</v>
          </cell>
          <cell r="L252" t="str">
            <v/>
          </cell>
        </row>
        <row r="253">
          <cell r="G253">
            <v>0</v>
          </cell>
          <cell r="L253" t="str">
            <v/>
          </cell>
        </row>
        <row r="254">
          <cell r="G254">
            <v>0</v>
          </cell>
          <cell r="L254" t="str">
            <v/>
          </cell>
        </row>
        <row r="255">
          <cell r="G255">
            <v>0</v>
          </cell>
          <cell r="L255" t="str">
            <v/>
          </cell>
        </row>
        <row r="256">
          <cell r="G256">
            <v>0</v>
          </cell>
          <cell r="L256" t="str">
            <v/>
          </cell>
        </row>
        <row r="257">
          <cell r="G257">
            <v>0</v>
          </cell>
          <cell r="L257" t="str">
            <v/>
          </cell>
        </row>
        <row r="258">
          <cell r="G258">
            <v>0</v>
          </cell>
          <cell r="L258" t="str">
            <v/>
          </cell>
        </row>
        <row r="259">
          <cell r="G259">
            <v>0</v>
          </cell>
          <cell r="L259" t="str">
            <v/>
          </cell>
        </row>
        <row r="260">
          <cell r="G260">
            <v>0</v>
          </cell>
          <cell r="L260" t="str">
            <v/>
          </cell>
        </row>
        <row r="261">
          <cell r="G261">
            <v>0</v>
          </cell>
          <cell r="L261" t="str">
            <v/>
          </cell>
        </row>
        <row r="262">
          <cell r="G262">
            <v>0</v>
          </cell>
          <cell r="L262" t="str">
            <v/>
          </cell>
        </row>
        <row r="263">
          <cell r="G263">
            <v>0</v>
          </cell>
          <cell r="L263" t="str">
            <v/>
          </cell>
        </row>
        <row r="264">
          <cell r="G264">
            <v>0</v>
          </cell>
          <cell r="L264" t="str">
            <v/>
          </cell>
        </row>
        <row r="265">
          <cell r="G265">
            <v>0</v>
          </cell>
          <cell r="L265" t="str">
            <v/>
          </cell>
        </row>
        <row r="266">
          <cell r="G266">
            <v>0</v>
          </cell>
          <cell r="L266" t="str">
            <v/>
          </cell>
        </row>
        <row r="267">
          <cell r="G267">
            <v>0</v>
          </cell>
          <cell r="L267" t="str">
            <v/>
          </cell>
        </row>
        <row r="268">
          <cell r="G268">
            <v>0</v>
          </cell>
          <cell r="L268" t="str">
            <v/>
          </cell>
        </row>
        <row r="269">
          <cell r="G269">
            <v>0</v>
          </cell>
          <cell r="L269" t="str">
            <v/>
          </cell>
        </row>
        <row r="270">
          <cell r="G270">
            <v>0</v>
          </cell>
          <cell r="L270" t="str">
            <v/>
          </cell>
        </row>
        <row r="271">
          <cell r="G271">
            <v>0</v>
          </cell>
          <cell r="L271" t="str">
            <v/>
          </cell>
        </row>
        <row r="272">
          <cell r="G272">
            <v>0</v>
          </cell>
          <cell r="L272" t="str">
            <v/>
          </cell>
        </row>
        <row r="273">
          <cell r="G273">
            <v>0</v>
          </cell>
          <cell r="L273" t="str">
            <v/>
          </cell>
        </row>
        <row r="274">
          <cell r="G274">
            <v>0</v>
          </cell>
          <cell r="L274" t="str">
            <v/>
          </cell>
        </row>
        <row r="275">
          <cell r="G275">
            <v>0</v>
          </cell>
          <cell r="L275" t="str">
            <v/>
          </cell>
        </row>
        <row r="276">
          <cell r="G276">
            <v>0</v>
          </cell>
          <cell r="L276" t="str">
            <v/>
          </cell>
        </row>
        <row r="277">
          <cell r="G277">
            <v>0</v>
          </cell>
          <cell r="L277" t="str">
            <v/>
          </cell>
        </row>
        <row r="278">
          <cell r="G278">
            <v>0</v>
          </cell>
          <cell r="L278" t="str">
            <v/>
          </cell>
        </row>
        <row r="279">
          <cell r="G279">
            <v>0</v>
          </cell>
          <cell r="L279" t="str">
            <v/>
          </cell>
        </row>
        <row r="280">
          <cell r="G280">
            <v>0</v>
          </cell>
          <cell r="L280" t="str">
            <v/>
          </cell>
        </row>
        <row r="281">
          <cell r="G281">
            <v>0</v>
          </cell>
          <cell r="L281" t="str">
            <v/>
          </cell>
        </row>
        <row r="282">
          <cell r="G282">
            <v>0</v>
          </cell>
          <cell r="L282" t="str">
            <v/>
          </cell>
        </row>
        <row r="283">
          <cell r="G283">
            <v>0</v>
          </cell>
          <cell r="L283" t="str">
            <v/>
          </cell>
        </row>
        <row r="284">
          <cell r="G284">
            <v>0</v>
          </cell>
          <cell r="L284" t="str">
            <v/>
          </cell>
        </row>
        <row r="285">
          <cell r="G285">
            <v>0</v>
          </cell>
          <cell r="L285" t="str">
            <v/>
          </cell>
        </row>
        <row r="286">
          <cell r="G286">
            <v>0</v>
          </cell>
          <cell r="L286" t="str">
            <v/>
          </cell>
        </row>
        <row r="287">
          <cell r="G287">
            <v>0</v>
          </cell>
          <cell r="L287" t="str">
            <v/>
          </cell>
        </row>
        <row r="288">
          <cell r="G288">
            <v>0</v>
          </cell>
          <cell r="L288" t="str">
            <v/>
          </cell>
        </row>
        <row r="289">
          <cell r="G289">
            <v>0</v>
          </cell>
          <cell r="L289" t="str">
            <v/>
          </cell>
        </row>
        <row r="290">
          <cell r="G290">
            <v>0</v>
          </cell>
          <cell r="L290" t="str">
            <v/>
          </cell>
        </row>
        <row r="291">
          <cell r="G291">
            <v>0</v>
          </cell>
          <cell r="L291" t="str">
            <v/>
          </cell>
        </row>
        <row r="292">
          <cell r="G292">
            <v>0</v>
          </cell>
          <cell r="L292" t="str">
            <v/>
          </cell>
        </row>
        <row r="293">
          <cell r="G293">
            <v>0</v>
          </cell>
          <cell r="L293" t="str">
            <v/>
          </cell>
        </row>
        <row r="294">
          <cell r="G294">
            <v>0</v>
          </cell>
          <cell r="L294" t="str">
            <v/>
          </cell>
        </row>
        <row r="295">
          <cell r="G295">
            <v>0</v>
          </cell>
          <cell r="L295" t="str">
            <v/>
          </cell>
        </row>
        <row r="296">
          <cell r="G296">
            <v>0</v>
          </cell>
          <cell r="L296" t="str">
            <v/>
          </cell>
        </row>
        <row r="297">
          <cell r="G297">
            <v>0</v>
          </cell>
          <cell r="L297" t="str">
            <v/>
          </cell>
        </row>
        <row r="298">
          <cell r="G298">
            <v>0</v>
          </cell>
          <cell r="L298" t="str">
            <v/>
          </cell>
        </row>
        <row r="299">
          <cell r="G299">
            <v>0</v>
          </cell>
          <cell r="L299" t="str">
            <v/>
          </cell>
        </row>
        <row r="300">
          <cell r="G300">
            <v>0</v>
          </cell>
          <cell r="L300" t="str">
            <v/>
          </cell>
        </row>
        <row r="301">
          <cell r="G301">
            <v>0</v>
          </cell>
          <cell r="L301" t="str">
            <v/>
          </cell>
        </row>
        <row r="302">
          <cell r="G302">
            <v>0</v>
          </cell>
          <cell r="L302" t="str">
            <v/>
          </cell>
        </row>
        <row r="303">
          <cell r="G303">
            <v>0</v>
          </cell>
          <cell r="L303" t="str">
            <v/>
          </cell>
        </row>
        <row r="304">
          <cell r="G304">
            <v>0</v>
          </cell>
          <cell r="L304" t="str">
            <v/>
          </cell>
        </row>
        <row r="305">
          <cell r="G305">
            <v>0</v>
          </cell>
          <cell r="L305" t="str">
            <v/>
          </cell>
        </row>
        <row r="306">
          <cell r="G306">
            <v>0</v>
          </cell>
          <cell r="L306" t="str">
            <v/>
          </cell>
        </row>
        <row r="307">
          <cell r="G307">
            <v>0</v>
          </cell>
          <cell r="L307" t="str">
            <v/>
          </cell>
        </row>
        <row r="308">
          <cell r="G308">
            <v>0</v>
          </cell>
          <cell r="L308" t="str">
            <v/>
          </cell>
        </row>
        <row r="309">
          <cell r="G309">
            <v>0</v>
          </cell>
          <cell r="L309" t="str">
            <v/>
          </cell>
        </row>
        <row r="310">
          <cell r="G310">
            <v>0</v>
          </cell>
          <cell r="L310" t="str">
            <v/>
          </cell>
        </row>
        <row r="311">
          <cell r="G311">
            <v>0</v>
          </cell>
          <cell r="L311" t="str">
            <v/>
          </cell>
        </row>
        <row r="312">
          <cell r="G312">
            <v>0</v>
          </cell>
          <cell r="L312" t="str">
            <v/>
          </cell>
        </row>
        <row r="313">
          <cell r="G313">
            <v>0</v>
          </cell>
          <cell r="L313" t="str">
            <v/>
          </cell>
        </row>
        <row r="314">
          <cell r="G314">
            <v>0</v>
          </cell>
          <cell r="L314" t="str">
            <v/>
          </cell>
        </row>
        <row r="315">
          <cell r="G315">
            <v>0</v>
          </cell>
          <cell r="L315" t="str">
            <v/>
          </cell>
        </row>
        <row r="316">
          <cell r="G316">
            <v>0</v>
          </cell>
          <cell r="L316" t="str">
            <v/>
          </cell>
        </row>
        <row r="317">
          <cell r="G317">
            <v>0</v>
          </cell>
          <cell r="L317" t="str">
            <v/>
          </cell>
        </row>
        <row r="318">
          <cell r="G318">
            <v>0</v>
          </cell>
          <cell r="L318" t="str">
            <v/>
          </cell>
        </row>
        <row r="319">
          <cell r="G319">
            <v>0</v>
          </cell>
          <cell r="L319" t="str">
            <v/>
          </cell>
        </row>
        <row r="320">
          <cell r="G320">
            <v>0</v>
          </cell>
          <cell r="L320" t="str">
            <v/>
          </cell>
        </row>
        <row r="321">
          <cell r="G321">
            <v>0</v>
          </cell>
          <cell r="L321" t="str">
            <v/>
          </cell>
        </row>
        <row r="322">
          <cell r="G322">
            <v>0</v>
          </cell>
          <cell r="L322" t="str">
            <v/>
          </cell>
        </row>
        <row r="323">
          <cell r="G323">
            <v>0</v>
          </cell>
          <cell r="L323" t="str">
            <v/>
          </cell>
        </row>
        <row r="324">
          <cell r="G324">
            <v>0</v>
          </cell>
          <cell r="L324" t="str">
            <v/>
          </cell>
        </row>
        <row r="325">
          <cell r="G325">
            <v>0</v>
          </cell>
          <cell r="L325" t="str">
            <v/>
          </cell>
        </row>
        <row r="326">
          <cell r="G326">
            <v>0</v>
          </cell>
          <cell r="L326" t="str">
            <v/>
          </cell>
        </row>
        <row r="327">
          <cell r="G327">
            <v>0</v>
          </cell>
          <cell r="L327" t="str">
            <v/>
          </cell>
        </row>
        <row r="328">
          <cell r="G328">
            <v>0</v>
          </cell>
          <cell r="L328" t="str">
            <v/>
          </cell>
        </row>
        <row r="329">
          <cell r="G329">
            <v>0</v>
          </cell>
          <cell r="L329" t="str">
            <v/>
          </cell>
        </row>
        <row r="330">
          <cell r="G330">
            <v>0</v>
          </cell>
          <cell r="L330" t="str">
            <v/>
          </cell>
        </row>
        <row r="331">
          <cell r="G331">
            <v>0</v>
          </cell>
          <cell r="L331" t="str">
            <v/>
          </cell>
        </row>
        <row r="332">
          <cell r="G332">
            <v>0</v>
          </cell>
          <cell r="L332" t="str">
            <v/>
          </cell>
        </row>
        <row r="333">
          <cell r="G333">
            <v>0</v>
          </cell>
          <cell r="L333" t="str">
            <v/>
          </cell>
        </row>
        <row r="334">
          <cell r="G334">
            <v>0</v>
          </cell>
          <cell r="L334" t="str">
            <v/>
          </cell>
        </row>
        <row r="335">
          <cell r="G335">
            <v>0</v>
          </cell>
          <cell r="L335" t="str">
            <v/>
          </cell>
        </row>
        <row r="336">
          <cell r="G336">
            <v>0</v>
          </cell>
          <cell r="L336" t="str">
            <v/>
          </cell>
        </row>
        <row r="337">
          <cell r="G337">
            <v>0</v>
          </cell>
          <cell r="L337" t="str">
            <v/>
          </cell>
        </row>
        <row r="338">
          <cell r="G338">
            <v>0</v>
          </cell>
          <cell r="L338" t="str">
            <v/>
          </cell>
        </row>
        <row r="339">
          <cell r="G339">
            <v>0</v>
          </cell>
          <cell r="L339" t="str">
            <v/>
          </cell>
        </row>
        <row r="340">
          <cell r="G340">
            <v>0</v>
          </cell>
          <cell r="L340" t="str">
            <v/>
          </cell>
        </row>
        <row r="341">
          <cell r="G341">
            <v>0</v>
          </cell>
          <cell r="L341" t="str">
            <v/>
          </cell>
        </row>
        <row r="342">
          <cell r="G342">
            <v>0</v>
          </cell>
          <cell r="L342" t="str">
            <v/>
          </cell>
        </row>
        <row r="343">
          <cell r="G343">
            <v>0</v>
          </cell>
          <cell r="L343" t="str">
            <v/>
          </cell>
        </row>
        <row r="344">
          <cell r="G344">
            <v>0</v>
          </cell>
          <cell r="L344" t="str">
            <v/>
          </cell>
        </row>
        <row r="345">
          <cell r="G345">
            <v>0</v>
          </cell>
          <cell r="L345" t="str">
            <v/>
          </cell>
        </row>
        <row r="346">
          <cell r="G346">
            <v>0</v>
          </cell>
          <cell r="L346" t="str">
            <v/>
          </cell>
        </row>
        <row r="347">
          <cell r="G347">
            <v>0</v>
          </cell>
          <cell r="L347" t="str">
            <v/>
          </cell>
        </row>
        <row r="348">
          <cell r="G348">
            <v>0</v>
          </cell>
          <cell r="L348" t="str">
            <v/>
          </cell>
        </row>
        <row r="349">
          <cell r="G349">
            <v>0</v>
          </cell>
          <cell r="L349" t="str">
            <v/>
          </cell>
        </row>
        <row r="350">
          <cell r="G350">
            <v>0</v>
          </cell>
          <cell r="L350" t="str">
            <v/>
          </cell>
        </row>
        <row r="351">
          <cell r="G351">
            <v>0</v>
          </cell>
          <cell r="L351" t="str">
            <v/>
          </cell>
        </row>
        <row r="352">
          <cell r="G352">
            <v>0</v>
          </cell>
          <cell r="L352" t="str">
            <v/>
          </cell>
        </row>
        <row r="353">
          <cell r="G353">
            <v>0</v>
          </cell>
          <cell r="L353" t="str">
            <v/>
          </cell>
        </row>
        <row r="354">
          <cell r="G354">
            <v>0</v>
          </cell>
          <cell r="L354" t="str">
            <v/>
          </cell>
        </row>
        <row r="355">
          <cell r="G355">
            <v>0</v>
          </cell>
          <cell r="L355" t="str">
            <v/>
          </cell>
        </row>
        <row r="356">
          <cell r="G356">
            <v>0</v>
          </cell>
          <cell r="L356" t="str">
            <v/>
          </cell>
        </row>
        <row r="357">
          <cell r="G357">
            <v>0</v>
          </cell>
          <cell r="L357" t="str">
            <v/>
          </cell>
        </row>
        <row r="358">
          <cell r="G358">
            <v>0</v>
          </cell>
          <cell r="L358" t="str">
            <v/>
          </cell>
        </row>
        <row r="359">
          <cell r="G359">
            <v>0</v>
          </cell>
          <cell r="L359" t="str">
            <v/>
          </cell>
        </row>
        <row r="360">
          <cell r="G360">
            <v>0</v>
          </cell>
          <cell r="L360" t="str">
            <v/>
          </cell>
        </row>
        <row r="361">
          <cell r="G361">
            <v>0</v>
          </cell>
          <cell r="L361" t="str">
            <v/>
          </cell>
        </row>
        <row r="362">
          <cell r="G362">
            <v>0</v>
          </cell>
          <cell r="L362" t="str">
            <v/>
          </cell>
        </row>
        <row r="363">
          <cell r="G363">
            <v>0</v>
          </cell>
          <cell r="L363" t="str">
            <v/>
          </cell>
        </row>
        <row r="364">
          <cell r="G364">
            <v>0</v>
          </cell>
          <cell r="L364" t="str">
            <v/>
          </cell>
        </row>
        <row r="365">
          <cell r="G365">
            <v>0</v>
          </cell>
          <cell r="L365" t="str">
            <v/>
          </cell>
        </row>
        <row r="366">
          <cell r="G366">
            <v>0</v>
          </cell>
          <cell r="L366" t="str">
            <v/>
          </cell>
        </row>
        <row r="367">
          <cell r="G367">
            <v>0</v>
          </cell>
          <cell r="L367" t="str">
            <v/>
          </cell>
        </row>
        <row r="368">
          <cell r="G368">
            <v>0</v>
          </cell>
          <cell r="L368" t="str">
            <v/>
          </cell>
        </row>
        <row r="369">
          <cell r="G369">
            <v>0</v>
          </cell>
          <cell r="L369" t="str">
            <v/>
          </cell>
        </row>
        <row r="370">
          <cell r="G370">
            <v>0</v>
          </cell>
          <cell r="L370" t="str">
            <v/>
          </cell>
        </row>
        <row r="371">
          <cell r="G371">
            <v>0</v>
          </cell>
          <cell r="L371" t="str">
            <v/>
          </cell>
        </row>
        <row r="372">
          <cell r="G372">
            <v>0</v>
          </cell>
          <cell r="L372" t="str">
            <v/>
          </cell>
        </row>
        <row r="373">
          <cell r="G373">
            <v>0</v>
          </cell>
          <cell r="L373" t="str">
            <v/>
          </cell>
        </row>
        <row r="374">
          <cell r="G374">
            <v>0</v>
          </cell>
          <cell r="L374" t="str">
            <v/>
          </cell>
        </row>
        <row r="375">
          <cell r="G375">
            <v>0</v>
          </cell>
          <cell r="L375" t="str">
            <v/>
          </cell>
        </row>
        <row r="376">
          <cell r="G376">
            <v>0</v>
          </cell>
          <cell r="L376" t="str">
            <v/>
          </cell>
        </row>
        <row r="377">
          <cell r="G377">
            <v>0</v>
          </cell>
          <cell r="L377" t="str">
            <v/>
          </cell>
        </row>
        <row r="378">
          <cell r="G378">
            <v>0</v>
          </cell>
          <cell r="L378" t="str">
            <v/>
          </cell>
        </row>
        <row r="379">
          <cell r="G379">
            <v>0</v>
          </cell>
          <cell r="L379" t="str">
            <v/>
          </cell>
        </row>
        <row r="380">
          <cell r="G380">
            <v>0</v>
          </cell>
          <cell r="L380" t="str">
            <v/>
          </cell>
        </row>
        <row r="381">
          <cell r="G381">
            <v>0</v>
          </cell>
          <cell r="L381" t="str">
            <v/>
          </cell>
        </row>
        <row r="382">
          <cell r="G382">
            <v>0</v>
          </cell>
          <cell r="L382" t="str">
            <v/>
          </cell>
        </row>
        <row r="383">
          <cell r="G383">
            <v>0</v>
          </cell>
          <cell r="L383" t="str">
            <v/>
          </cell>
        </row>
        <row r="384">
          <cell r="G384">
            <v>0</v>
          </cell>
          <cell r="L384" t="str">
            <v/>
          </cell>
        </row>
        <row r="385">
          <cell r="G385">
            <v>0</v>
          </cell>
          <cell r="L385" t="str">
            <v/>
          </cell>
        </row>
        <row r="386">
          <cell r="G386">
            <v>0</v>
          </cell>
          <cell r="L386" t="str">
            <v/>
          </cell>
        </row>
        <row r="387">
          <cell r="G387">
            <v>0</v>
          </cell>
          <cell r="L387" t="str">
            <v/>
          </cell>
        </row>
        <row r="388">
          <cell r="G388">
            <v>0</v>
          </cell>
          <cell r="L388" t="str">
            <v/>
          </cell>
        </row>
        <row r="389">
          <cell r="G389">
            <v>0</v>
          </cell>
          <cell r="L389" t="str">
            <v/>
          </cell>
        </row>
        <row r="390">
          <cell r="G390">
            <v>0</v>
          </cell>
          <cell r="L390" t="str">
            <v/>
          </cell>
        </row>
        <row r="391">
          <cell r="G391">
            <v>0</v>
          </cell>
          <cell r="L391" t="str">
            <v/>
          </cell>
        </row>
        <row r="392">
          <cell r="G392">
            <v>0</v>
          </cell>
          <cell r="L392" t="str">
            <v/>
          </cell>
        </row>
        <row r="393">
          <cell r="G393">
            <v>0</v>
          </cell>
          <cell r="L393" t="str">
            <v/>
          </cell>
        </row>
        <row r="394">
          <cell r="G394">
            <v>0</v>
          </cell>
          <cell r="L394" t="str">
            <v/>
          </cell>
        </row>
        <row r="395">
          <cell r="G395">
            <v>0</v>
          </cell>
          <cell r="L395" t="str">
            <v/>
          </cell>
        </row>
        <row r="396">
          <cell r="G396">
            <v>0</v>
          </cell>
          <cell r="L396" t="str">
            <v/>
          </cell>
        </row>
        <row r="397">
          <cell r="G397">
            <v>0</v>
          </cell>
          <cell r="L397" t="str">
            <v/>
          </cell>
        </row>
        <row r="398">
          <cell r="G398">
            <v>0</v>
          </cell>
          <cell r="L398" t="str">
            <v/>
          </cell>
        </row>
        <row r="399">
          <cell r="G399">
            <v>0</v>
          </cell>
          <cell r="L399" t="str">
            <v/>
          </cell>
        </row>
        <row r="400">
          <cell r="G400">
            <v>0</v>
          </cell>
          <cell r="L400" t="str">
            <v/>
          </cell>
        </row>
        <row r="401">
          <cell r="G401">
            <v>0</v>
          </cell>
          <cell r="L401" t="str">
            <v/>
          </cell>
        </row>
        <row r="402">
          <cell r="G402">
            <v>0</v>
          </cell>
          <cell r="L402" t="str">
            <v/>
          </cell>
        </row>
        <row r="403">
          <cell r="G403">
            <v>0</v>
          </cell>
          <cell r="L403" t="str">
            <v/>
          </cell>
        </row>
        <row r="404">
          <cell r="G404">
            <v>0</v>
          </cell>
          <cell r="L404" t="str">
            <v/>
          </cell>
        </row>
        <row r="405">
          <cell r="G405">
            <v>0</v>
          </cell>
          <cell r="L405" t="str">
            <v/>
          </cell>
        </row>
        <row r="406">
          <cell r="G406">
            <v>0</v>
          </cell>
          <cell r="L406" t="str">
            <v/>
          </cell>
        </row>
        <row r="407">
          <cell r="G407">
            <v>0</v>
          </cell>
          <cell r="L407" t="str">
            <v/>
          </cell>
        </row>
        <row r="408">
          <cell r="G408">
            <v>0</v>
          </cell>
          <cell r="L408" t="str">
            <v/>
          </cell>
        </row>
        <row r="409">
          <cell r="G409">
            <v>0</v>
          </cell>
          <cell r="L409" t="str">
            <v/>
          </cell>
        </row>
        <row r="410">
          <cell r="G410">
            <v>0</v>
          </cell>
          <cell r="L410" t="str">
            <v/>
          </cell>
        </row>
        <row r="411">
          <cell r="G411">
            <v>0</v>
          </cell>
          <cell r="L411" t="str">
            <v/>
          </cell>
        </row>
        <row r="412">
          <cell r="G412">
            <v>0</v>
          </cell>
          <cell r="L412" t="str">
            <v/>
          </cell>
        </row>
        <row r="413">
          <cell r="G413">
            <v>0</v>
          </cell>
          <cell r="L413" t="str">
            <v/>
          </cell>
        </row>
        <row r="414">
          <cell r="G414">
            <v>0</v>
          </cell>
          <cell r="L414" t="str">
            <v/>
          </cell>
        </row>
        <row r="415">
          <cell r="G415">
            <v>0</v>
          </cell>
          <cell r="L415" t="str">
            <v/>
          </cell>
        </row>
        <row r="416">
          <cell r="G416">
            <v>0</v>
          </cell>
          <cell r="L416" t="str">
            <v/>
          </cell>
        </row>
        <row r="417">
          <cell r="G417">
            <v>0</v>
          </cell>
          <cell r="L417" t="str">
            <v/>
          </cell>
        </row>
        <row r="418">
          <cell r="G418">
            <v>0</v>
          </cell>
          <cell r="L418" t="str">
            <v/>
          </cell>
        </row>
        <row r="419">
          <cell r="G419">
            <v>0</v>
          </cell>
          <cell r="L419" t="str">
            <v/>
          </cell>
        </row>
        <row r="420">
          <cell r="G420">
            <v>0</v>
          </cell>
          <cell r="L420" t="str">
            <v/>
          </cell>
        </row>
        <row r="421">
          <cell r="G421">
            <v>0</v>
          </cell>
          <cell r="L421" t="str">
            <v/>
          </cell>
        </row>
        <row r="422">
          <cell r="G422">
            <v>0</v>
          </cell>
          <cell r="L422" t="str">
            <v/>
          </cell>
        </row>
        <row r="423">
          <cell r="G423">
            <v>0</v>
          </cell>
          <cell r="L423" t="str">
            <v/>
          </cell>
        </row>
        <row r="424">
          <cell r="G424">
            <v>0</v>
          </cell>
          <cell r="L424" t="str">
            <v/>
          </cell>
        </row>
        <row r="425">
          <cell r="G425">
            <v>0</v>
          </cell>
          <cell r="L425" t="str">
            <v/>
          </cell>
        </row>
        <row r="426">
          <cell r="G426">
            <v>0</v>
          </cell>
          <cell r="L426" t="str">
            <v/>
          </cell>
        </row>
        <row r="427">
          <cell r="G427">
            <v>0</v>
          </cell>
          <cell r="L427" t="str">
            <v/>
          </cell>
        </row>
        <row r="428">
          <cell r="G428">
            <v>0</v>
          </cell>
          <cell r="L428" t="str">
            <v/>
          </cell>
        </row>
        <row r="429">
          <cell r="G429">
            <v>0</v>
          </cell>
          <cell r="L429" t="str">
            <v/>
          </cell>
        </row>
        <row r="430">
          <cell r="G430">
            <v>0</v>
          </cell>
          <cell r="L430" t="str">
            <v/>
          </cell>
        </row>
        <row r="431">
          <cell r="G431">
            <v>0</v>
          </cell>
          <cell r="L431" t="str">
            <v/>
          </cell>
        </row>
        <row r="432">
          <cell r="G432">
            <v>0</v>
          </cell>
          <cell r="L432" t="str">
            <v/>
          </cell>
        </row>
        <row r="433">
          <cell r="G433">
            <v>0</v>
          </cell>
          <cell r="L433" t="str">
            <v/>
          </cell>
        </row>
        <row r="434">
          <cell r="G434">
            <v>0</v>
          </cell>
          <cell r="L434" t="str">
            <v/>
          </cell>
        </row>
        <row r="435">
          <cell r="G435">
            <v>0</v>
          </cell>
          <cell r="L435" t="str">
            <v/>
          </cell>
        </row>
        <row r="436">
          <cell r="G436">
            <v>0</v>
          </cell>
          <cell r="L436" t="str">
            <v/>
          </cell>
        </row>
        <row r="437">
          <cell r="G437">
            <v>0</v>
          </cell>
          <cell r="L437" t="str">
            <v/>
          </cell>
        </row>
        <row r="438">
          <cell r="G438">
            <v>0</v>
          </cell>
          <cell r="L438" t="str">
            <v/>
          </cell>
        </row>
        <row r="439">
          <cell r="G439">
            <v>0</v>
          </cell>
          <cell r="L439" t="str">
            <v/>
          </cell>
        </row>
        <row r="440">
          <cell r="G440">
            <v>0</v>
          </cell>
          <cell r="L440" t="str">
            <v/>
          </cell>
        </row>
        <row r="441">
          <cell r="G441">
            <v>0</v>
          </cell>
          <cell r="L441" t="str">
            <v/>
          </cell>
        </row>
        <row r="442">
          <cell r="G442">
            <v>0</v>
          </cell>
          <cell r="L442" t="str">
            <v/>
          </cell>
        </row>
        <row r="443">
          <cell r="G443">
            <v>0</v>
          </cell>
          <cell r="L443" t="str">
            <v/>
          </cell>
        </row>
        <row r="444">
          <cell r="G444">
            <v>0</v>
          </cell>
          <cell r="L444" t="str">
            <v/>
          </cell>
        </row>
        <row r="445">
          <cell r="G445">
            <v>0</v>
          </cell>
          <cell r="L445" t="str">
            <v/>
          </cell>
        </row>
        <row r="446">
          <cell r="G446">
            <v>0</v>
          </cell>
          <cell r="L446" t="str">
            <v/>
          </cell>
        </row>
        <row r="447">
          <cell r="G447">
            <v>0</v>
          </cell>
          <cell r="L447" t="str">
            <v/>
          </cell>
        </row>
        <row r="448">
          <cell r="G448">
            <v>0</v>
          </cell>
          <cell r="L448" t="str">
            <v/>
          </cell>
        </row>
        <row r="449">
          <cell r="G449">
            <v>0</v>
          </cell>
          <cell r="L449" t="str">
            <v/>
          </cell>
        </row>
        <row r="450">
          <cell r="G450">
            <v>0</v>
          </cell>
          <cell r="L450" t="str">
            <v/>
          </cell>
        </row>
        <row r="451">
          <cell r="G451">
            <v>0</v>
          </cell>
          <cell r="L451" t="str">
            <v/>
          </cell>
        </row>
        <row r="452">
          <cell r="G452">
            <v>0</v>
          </cell>
          <cell r="L452" t="str">
            <v/>
          </cell>
        </row>
        <row r="453">
          <cell r="G453">
            <v>0</v>
          </cell>
          <cell r="L453" t="str">
            <v/>
          </cell>
        </row>
        <row r="454">
          <cell r="G454">
            <v>0</v>
          </cell>
          <cell r="L454" t="str">
            <v/>
          </cell>
        </row>
        <row r="455">
          <cell r="G455">
            <v>0</v>
          </cell>
          <cell r="L455" t="str">
            <v/>
          </cell>
        </row>
        <row r="456">
          <cell r="G456">
            <v>0</v>
          </cell>
          <cell r="L456" t="str">
            <v/>
          </cell>
        </row>
        <row r="457">
          <cell r="G457">
            <v>0</v>
          </cell>
          <cell r="L457" t="str">
            <v/>
          </cell>
        </row>
        <row r="458">
          <cell r="G458">
            <v>0</v>
          </cell>
          <cell r="L458" t="str">
            <v/>
          </cell>
        </row>
        <row r="459">
          <cell r="G459">
            <v>0</v>
          </cell>
          <cell r="L459" t="str">
            <v/>
          </cell>
        </row>
        <row r="460">
          <cell r="G460">
            <v>0</v>
          </cell>
          <cell r="L460" t="str">
            <v/>
          </cell>
        </row>
        <row r="461">
          <cell r="G461">
            <v>0</v>
          </cell>
          <cell r="L461" t="str">
            <v/>
          </cell>
        </row>
        <row r="462">
          <cell r="G462">
            <v>0</v>
          </cell>
          <cell r="L462" t="str">
            <v/>
          </cell>
        </row>
        <row r="463">
          <cell r="G463">
            <v>0</v>
          </cell>
          <cell r="L463" t="str">
            <v/>
          </cell>
        </row>
        <row r="464">
          <cell r="G464">
            <v>0</v>
          </cell>
          <cell r="L464" t="str">
            <v/>
          </cell>
        </row>
        <row r="465">
          <cell r="G465">
            <v>0</v>
          </cell>
          <cell r="L465" t="str">
            <v/>
          </cell>
        </row>
        <row r="466">
          <cell r="G466">
            <v>0</v>
          </cell>
          <cell r="L466" t="str">
            <v/>
          </cell>
        </row>
        <row r="467">
          <cell r="G467">
            <v>0</v>
          </cell>
          <cell r="L467" t="str">
            <v/>
          </cell>
        </row>
        <row r="468">
          <cell r="G468">
            <v>0</v>
          </cell>
          <cell r="L468" t="str">
            <v/>
          </cell>
        </row>
        <row r="469">
          <cell r="G469">
            <v>0</v>
          </cell>
          <cell r="L469" t="str">
            <v/>
          </cell>
        </row>
        <row r="470">
          <cell r="G470">
            <v>0</v>
          </cell>
          <cell r="L470" t="str">
            <v/>
          </cell>
        </row>
        <row r="471">
          <cell r="G471">
            <v>0</v>
          </cell>
          <cell r="L471" t="str">
            <v/>
          </cell>
        </row>
        <row r="472">
          <cell r="G472">
            <v>0</v>
          </cell>
          <cell r="L472" t="str">
            <v/>
          </cell>
        </row>
        <row r="473">
          <cell r="G473">
            <v>0</v>
          </cell>
          <cell r="L473" t="str">
            <v/>
          </cell>
        </row>
        <row r="474">
          <cell r="G474">
            <v>0</v>
          </cell>
          <cell r="L474" t="str">
            <v/>
          </cell>
        </row>
        <row r="475">
          <cell r="G475">
            <v>0</v>
          </cell>
          <cell r="L475" t="str">
            <v/>
          </cell>
        </row>
        <row r="476">
          <cell r="G476">
            <v>0</v>
          </cell>
          <cell r="L476" t="str">
            <v/>
          </cell>
        </row>
        <row r="477">
          <cell r="G477">
            <v>0</v>
          </cell>
          <cell r="L477" t="str">
            <v/>
          </cell>
        </row>
        <row r="478">
          <cell r="G478">
            <v>0</v>
          </cell>
          <cell r="L478" t="str">
            <v/>
          </cell>
        </row>
        <row r="479">
          <cell r="G479">
            <v>0</v>
          </cell>
          <cell r="L479" t="str">
            <v/>
          </cell>
        </row>
        <row r="480">
          <cell r="G480">
            <v>0</v>
          </cell>
          <cell r="L480" t="str">
            <v/>
          </cell>
        </row>
        <row r="481">
          <cell r="G481">
            <v>0</v>
          </cell>
          <cell r="L481" t="str">
            <v/>
          </cell>
        </row>
        <row r="482">
          <cell r="G482">
            <v>0</v>
          </cell>
          <cell r="L482" t="str">
            <v/>
          </cell>
        </row>
        <row r="483">
          <cell r="G483">
            <v>0</v>
          </cell>
          <cell r="L483" t="str">
            <v/>
          </cell>
        </row>
        <row r="484">
          <cell r="G484">
            <v>0</v>
          </cell>
          <cell r="L484" t="str">
            <v/>
          </cell>
        </row>
        <row r="485">
          <cell r="G485">
            <v>0</v>
          </cell>
          <cell r="L485" t="str">
            <v/>
          </cell>
        </row>
        <row r="486">
          <cell r="G486">
            <v>0</v>
          </cell>
          <cell r="L486" t="str">
            <v/>
          </cell>
        </row>
        <row r="487">
          <cell r="G487">
            <v>0</v>
          </cell>
          <cell r="L487" t="str">
            <v/>
          </cell>
        </row>
        <row r="488">
          <cell r="G488">
            <v>0</v>
          </cell>
          <cell r="L488" t="str">
            <v/>
          </cell>
        </row>
        <row r="489">
          <cell r="G489">
            <v>0</v>
          </cell>
          <cell r="L489" t="str">
            <v/>
          </cell>
        </row>
        <row r="490">
          <cell r="G490">
            <v>0</v>
          </cell>
          <cell r="L490" t="str">
            <v/>
          </cell>
        </row>
        <row r="491">
          <cell r="G491">
            <v>0</v>
          </cell>
          <cell r="L491" t="str">
            <v/>
          </cell>
        </row>
        <row r="492">
          <cell r="G492">
            <v>0</v>
          </cell>
          <cell r="L492" t="str">
            <v/>
          </cell>
        </row>
        <row r="493">
          <cell r="G493">
            <v>0</v>
          </cell>
          <cell r="L493" t="str">
            <v/>
          </cell>
        </row>
        <row r="494">
          <cell r="G494">
            <v>0</v>
          </cell>
          <cell r="L494" t="str">
            <v/>
          </cell>
        </row>
        <row r="495">
          <cell r="G495">
            <v>0</v>
          </cell>
          <cell r="L495" t="str">
            <v/>
          </cell>
        </row>
        <row r="496">
          <cell r="G496">
            <v>0</v>
          </cell>
          <cell r="L496" t="str">
            <v/>
          </cell>
        </row>
        <row r="497">
          <cell r="G497">
            <v>0</v>
          </cell>
          <cell r="L497" t="str">
            <v/>
          </cell>
        </row>
        <row r="498">
          <cell r="G498">
            <v>0</v>
          </cell>
          <cell r="L498" t="str">
            <v/>
          </cell>
        </row>
        <row r="499">
          <cell r="G499">
            <v>0</v>
          </cell>
          <cell r="L499" t="str">
            <v/>
          </cell>
        </row>
        <row r="500">
          <cell r="G500">
            <v>0</v>
          </cell>
          <cell r="L500" t="str">
            <v/>
          </cell>
        </row>
        <row r="501">
          <cell r="G501">
            <v>0</v>
          </cell>
          <cell r="L501" t="str">
            <v/>
          </cell>
        </row>
        <row r="502">
          <cell r="G502">
            <v>0</v>
          </cell>
          <cell r="L502" t="str">
            <v/>
          </cell>
        </row>
        <row r="503">
          <cell r="G503">
            <v>0</v>
          </cell>
          <cell r="L503" t="str">
            <v/>
          </cell>
        </row>
        <row r="504">
          <cell r="G504">
            <v>0</v>
          </cell>
          <cell r="L504" t="str">
            <v/>
          </cell>
        </row>
        <row r="505">
          <cell r="G505">
            <v>0</v>
          </cell>
          <cell r="L505" t="str">
            <v/>
          </cell>
        </row>
        <row r="506">
          <cell r="G506">
            <v>0</v>
          </cell>
          <cell r="L506" t="str">
            <v/>
          </cell>
        </row>
        <row r="507">
          <cell r="G507">
            <v>0</v>
          </cell>
          <cell r="L507" t="str">
            <v/>
          </cell>
        </row>
        <row r="508">
          <cell r="G508">
            <v>0</v>
          </cell>
          <cell r="L508" t="str">
            <v/>
          </cell>
        </row>
        <row r="509">
          <cell r="G509">
            <v>0</v>
          </cell>
          <cell r="L509" t="str">
            <v/>
          </cell>
        </row>
        <row r="510">
          <cell r="G510">
            <v>0</v>
          </cell>
          <cell r="L510" t="str">
            <v/>
          </cell>
        </row>
        <row r="511">
          <cell r="G511">
            <v>0</v>
          </cell>
          <cell r="L511" t="str">
            <v/>
          </cell>
        </row>
        <row r="512">
          <cell r="G512">
            <v>0</v>
          </cell>
          <cell r="L512" t="str">
            <v/>
          </cell>
        </row>
        <row r="513">
          <cell r="G513">
            <v>0</v>
          </cell>
          <cell r="L513" t="str">
            <v/>
          </cell>
        </row>
        <row r="514">
          <cell r="G514">
            <v>0</v>
          </cell>
          <cell r="L514" t="str">
            <v/>
          </cell>
        </row>
        <row r="515">
          <cell r="G515">
            <v>0</v>
          </cell>
          <cell r="L515" t="str">
            <v/>
          </cell>
        </row>
        <row r="516">
          <cell r="G516">
            <v>0</v>
          </cell>
          <cell r="L516" t="str">
            <v/>
          </cell>
        </row>
        <row r="517">
          <cell r="G517">
            <v>0</v>
          </cell>
          <cell r="L517" t="str">
            <v/>
          </cell>
        </row>
        <row r="518">
          <cell r="G518">
            <v>0</v>
          </cell>
          <cell r="L518" t="str">
            <v/>
          </cell>
        </row>
        <row r="519">
          <cell r="G519">
            <v>0</v>
          </cell>
          <cell r="L519" t="str">
            <v/>
          </cell>
        </row>
        <row r="520">
          <cell r="G520">
            <v>0</v>
          </cell>
          <cell r="L520" t="str">
            <v/>
          </cell>
        </row>
        <row r="521">
          <cell r="G521">
            <v>0</v>
          </cell>
          <cell r="L521" t="str">
            <v/>
          </cell>
        </row>
        <row r="522">
          <cell r="G522">
            <v>0</v>
          </cell>
          <cell r="L522" t="str">
            <v/>
          </cell>
        </row>
        <row r="523">
          <cell r="G523">
            <v>0</v>
          </cell>
          <cell r="L523" t="str">
            <v/>
          </cell>
        </row>
        <row r="524">
          <cell r="G524">
            <v>0</v>
          </cell>
          <cell r="L524" t="str">
            <v/>
          </cell>
        </row>
        <row r="525">
          <cell r="G525">
            <v>0</v>
          </cell>
          <cell r="L525" t="str">
            <v/>
          </cell>
        </row>
        <row r="526">
          <cell r="G526">
            <v>0</v>
          </cell>
          <cell r="L526" t="str">
            <v/>
          </cell>
        </row>
        <row r="527">
          <cell r="G527">
            <v>0</v>
          </cell>
          <cell r="L527" t="str">
            <v/>
          </cell>
        </row>
        <row r="528">
          <cell r="G528">
            <v>0</v>
          </cell>
          <cell r="L528" t="str">
            <v/>
          </cell>
        </row>
        <row r="529">
          <cell r="G529">
            <v>0</v>
          </cell>
          <cell r="L529" t="str">
            <v/>
          </cell>
        </row>
        <row r="530">
          <cell r="G530">
            <v>0</v>
          </cell>
          <cell r="L530" t="str">
            <v/>
          </cell>
        </row>
        <row r="531">
          <cell r="G531">
            <v>0</v>
          </cell>
          <cell r="L531" t="str">
            <v/>
          </cell>
        </row>
        <row r="532">
          <cell r="G532">
            <v>0</v>
          </cell>
          <cell r="L532" t="str">
            <v/>
          </cell>
        </row>
        <row r="533">
          <cell r="G533">
            <v>0</v>
          </cell>
          <cell r="L533" t="str">
            <v/>
          </cell>
        </row>
        <row r="534">
          <cell r="G534">
            <v>0</v>
          </cell>
          <cell r="L534" t="str">
            <v/>
          </cell>
        </row>
        <row r="535">
          <cell r="G535">
            <v>0</v>
          </cell>
          <cell r="L535" t="str">
            <v/>
          </cell>
        </row>
        <row r="536">
          <cell r="G536">
            <v>0</v>
          </cell>
          <cell r="L536" t="str">
            <v/>
          </cell>
        </row>
        <row r="537">
          <cell r="G537">
            <v>0</v>
          </cell>
          <cell r="L537" t="str">
            <v/>
          </cell>
        </row>
        <row r="538">
          <cell r="G538">
            <v>0</v>
          </cell>
          <cell r="L538" t="str">
            <v/>
          </cell>
        </row>
        <row r="539">
          <cell r="G539">
            <v>0</v>
          </cell>
          <cell r="L539" t="str">
            <v/>
          </cell>
        </row>
        <row r="540">
          <cell r="G540">
            <v>0</v>
          </cell>
          <cell r="L540" t="str">
            <v/>
          </cell>
        </row>
        <row r="541">
          <cell r="G541">
            <v>0</v>
          </cell>
          <cell r="L541" t="str">
            <v/>
          </cell>
        </row>
        <row r="542">
          <cell r="G542">
            <v>0</v>
          </cell>
          <cell r="L542" t="str">
            <v/>
          </cell>
        </row>
        <row r="543">
          <cell r="G543">
            <v>0</v>
          </cell>
          <cell r="L543" t="str">
            <v/>
          </cell>
        </row>
        <row r="544">
          <cell r="G544">
            <v>0</v>
          </cell>
          <cell r="L544" t="str">
            <v/>
          </cell>
        </row>
        <row r="545">
          <cell r="G545">
            <v>0</v>
          </cell>
          <cell r="L545" t="str">
            <v/>
          </cell>
        </row>
        <row r="546">
          <cell r="G546">
            <v>0</v>
          </cell>
          <cell r="L546" t="str">
            <v/>
          </cell>
        </row>
        <row r="547">
          <cell r="G547">
            <v>0</v>
          </cell>
          <cell r="L547" t="str">
            <v/>
          </cell>
        </row>
        <row r="548">
          <cell r="G548">
            <v>0</v>
          </cell>
          <cell r="L548" t="str">
            <v/>
          </cell>
        </row>
        <row r="549">
          <cell r="G549">
            <v>0</v>
          </cell>
          <cell r="L549" t="str">
            <v/>
          </cell>
        </row>
        <row r="550">
          <cell r="G550">
            <v>0</v>
          </cell>
          <cell r="L550" t="str">
            <v/>
          </cell>
        </row>
        <row r="551">
          <cell r="G551">
            <v>0</v>
          </cell>
          <cell r="L551" t="str">
            <v/>
          </cell>
        </row>
        <row r="552">
          <cell r="G552">
            <v>0</v>
          </cell>
          <cell r="L552" t="str">
            <v/>
          </cell>
        </row>
        <row r="553">
          <cell r="G553">
            <v>0</v>
          </cell>
          <cell r="L553" t="str">
            <v/>
          </cell>
        </row>
        <row r="554">
          <cell r="G554">
            <v>0</v>
          </cell>
          <cell r="L554" t="str">
            <v/>
          </cell>
        </row>
        <row r="555">
          <cell r="G555">
            <v>0</v>
          </cell>
          <cell r="L555" t="str">
            <v/>
          </cell>
        </row>
        <row r="556">
          <cell r="G556">
            <v>0</v>
          </cell>
          <cell r="L556" t="str">
            <v/>
          </cell>
        </row>
        <row r="557">
          <cell r="G557">
            <v>0</v>
          </cell>
          <cell r="L557" t="str">
            <v/>
          </cell>
        </row>
        <row r="558">
          <cell r="G558">
            <v>0</v>
          </cell>
          <cell r="L558" t="str">
            <v/>
          </cell>
        </row>
        <row r="559">
          <cell r="G559">
            <v>0</v>
          </cell>
          <cell r="L559" t="str">
            <v/>
          </cell>
        </row>
        <row r="560">
          <cell r="G560">
            <v>0</v>
          </cell>
          <cell r="L560" t="str">
            <v/>
          </cell>
        </row>
        <row r="561">
          <cell r="G561">
            <v>0</v>
          </cell>
          <cell r="L561" t="str">
            <v/>
          </cell>
        </row>
        <row r="562">
          <cell r="G562">
            <v>0</v>
          </cell>
          <cell r="L562" t="str">
            <v/>
          </cell>
        </row>
        <row r="563">
          <cell r="G563">
            <v>0</v>
          </cell>
          <cell r="L563" t="str">
            <v/>
          </cell>
        </row>
        <row r="564">
          <cell r="G564">
            <v>0</v>
          </cell>
          <cell r="L564" t="str">
            <v/>
          </cell>
        </row>
        <row r="565">
          <cell r="G565">
            <v>0</v>
          </cell>
          <cell r="L565" t="str">
            <v/>
          </cell>
        </row>
        <row r="566">
          <cell r="G566">
            <v>0</v>
          </cell>
          <cell r="L566" t="str">
            <v/>
          </cell>
        </row>
        <row r="567">
          <cell r="G567">
            <v>0</v>
          </cell>
          <cell r="L567" t="str">
            <v/>
          </cell>
        </row>
        <row r="568">
          <cell r="G568">
            <v>0</v>
          </cell>
          <cell r="L568" t="str">
            <v/>
          </cell>
        </row>
        <row r="569">
          <cell r="G569">
            <v>0</v>
          </cell>
          <cell r="L569" t="str">
            <v/>
          </cell>
        </row>
        <row r="570">
          <cell r="G570">
            <v>0</v>
          </cell>
          <cell r="L570" t="str">
            <v/>
          </cell>
        </row>
        <row r="571">
          <cell r="G571">
            <v>0</v>
          </cell>
          <cell r="L571" t="str">
            <v/>
          </cell>
        </row>
        <row r="572">
          <cell r="G572">
            <v>0</v>
          </cell>
          <cell r="L572" t="str">
            <v/>
          </cell>
        </row>
        <row r="573">
          <cell r="G573">
            <v>0</v>
          </cell>
          <cell r="L573" t="str">
            <v/>
          </cell>
        </row>
        <row r="574">
          <cell r="G574">
            <v>0</v>
          </cell>
          <cell r="L574" t="str">
            <v/>
          </cell>
        </row>
        <row r="575">
          <cell r="G575">
            <v>0</v>
          </cell>
          <cell r="L575" t="str">
            <v/>
          </cell>
        </row>
        <row r="576">
          <cell r="G576">
            <v>0</v>
          </cell>
          <cell r="L576" t="str">
            <v/>
          </cell>
        </row>
        <row r="577">
          <cell r="G577">
            <v>0</v>
          </cell>
          <cell r="L577" t="str">
            <v/>
          </cell>
        </row>
        <row r="578">
          <cell r="G578">
            <v>0</v>
          </cell>
          <cell r="L578" t="str">
            <v/>
          </cell>
        </row>
        <row r="579">
          <cell r="G579">
            <v>0</v>
          </cell>
          <cell r="L579" t="str">
            <v/>
          </cell>
        </row>
        <row r="580">
          <cell r="G580">
            <v>0</v>
          </cell>
          <cell r="L580" t="str">
            <v/>
          </cell>
        </row>
        <row r="581">
          <cell r="G581">
            <v>0</v>
          </cell>
          <cell r="L581" t="str">
            <v/>
          </cell>
        </row>
        <row r="582">
          <cell r="G582">
            <v>0</v>
          </cell>
          <cell r="L582" t="str">
            <v/>
          </cell>
        </row>
        <row r="583">
          <cell r="G583">
            <v>0</v>
          </cell>
          <cell r="L583" t="str">
            <v/>
          </cell>
        </row>
        <row r="584">
          <cell r="G584">
            <v>0</v>
          </cell>
          <cell r="L584" t="str">
            <v/>
          </cell>
        </row>
        <row r="585">
          <cell r="G585">
            <v>0</v>
          </cell>
          <cell r="L585" t="str">
            <v/>
          </cell>
        </row>
        <row r="586">
          <cell r="G586">
            <v>0</v>
          </cell>
          <cell r="L586" t="str">
            <v/>
          </cell>
        </row>
        <row r="587">
          <cell r="G587">
            <v>0</v>
          </cell>
          <cell r="L587" t="str">
            <v/>
          </cell>
        </row>
        <row r="588">
          <cell r="G588">
            <v>0</v>
          </cell>
          <cell r="L588" t="str">
            <v/>
          </cell>
        </row>
        <row r="589">
          <cell r="G589">
            <v>0</v>
          </cell>
          <cell r="L589" t="str">
            <v/>
          </cell>
        </row>
        <row r="590">
          <cell r="G590">
            <v>0</v>
          </cell>
          <cell r="L590" t="str">
            <v/>
          </cell>
        </row>
        <row r="591">
          <cell r="G591">
            <v>0</v>
          </cell>
          <cell r="L591" t="str">
            <v/>
          </cell>
        </row>
        <row r="592">
          <cell r="G592">
            <v>0</v>
          </cell>
          <cell r="L592" t="str">
            <v/>
          </cell>
        </row>
        <row r="593">
          <cell r="G593">
            <v>0</v>
          </cell>
          <cell r="L593" t="str">
            <v/>
          </cell>
        </row>
        <row r="594">
          <cell r="G594">
            <v>0</v>
          </cell>
          <cell r="L594" t="str">
            <v/>
          </cell>
        </row>
        <row r="595">
          <cell r="G595">
            <v>0</v>
          </cell>
          <cell r="L595" t="str">
            <v/>
          </cell>
        </row>
        <row r="596">
          <cell r="G596">
            <v>0</v>
          </cell>
          <cell r="L596" t="str">
            <v/>
          </cell>
        </row>
        <row r="597">
          <cell r="G597">
            <v>0</v>
          </cell>
          <cell r="L597" t="str">
            <v/>
          </cell>
        </row>
        <row r="598">
          <cell r="G598">
            <v>0</v>
          </cell>
          <cell r="L598" t="str">
            <v/>
          </cell>
        </row>
        <row r="599">
          <cell r="G599">
            <v>0</v>
          </cell>
          <cell r="L599" t="str">
            <v/>
          </cell>
        </row>
        <row r="600">
          <cell r="G600">
            <v>0</v>
          </cell>
          <cell r="L600" t="str">
            <v/>
          </cell>
        </row>
        <row r="601">
          <cell r="G601">
            <v>0</v>
          </cell>
          <cell r="L601" t="str">
            <v/>
          </cell>
        </row>
        <row r="602">
          <cell r="G602">
            <v>0</v>
          </cell>
          <cell r="L602" t="str">
            <v/>
          </cell>
        </row>
        <row r="603">
          <cell r="G603">
            <v>0</v>
          </cell>
          <cell r="L603" t="str">
            <v/>
          </cell>
        </row>
        <row r="604">
          <cell r="G604">
            <v>0</v>
          </cell>
          <cell r="L604" t="str">
            <v/>
          </cell>
        </row>
        <row r="605">
          <cell r="G605">
            <v>0</v>
          </cell>
          <cell r="L605" t="str">
            <v/>
          </cell>
        </row>
        <row r="606">
          <cell r="G606">
            <v>0</v>
          </cell>
          <cell r="L606" t="str">
            <v/>
          </cell>
        </row>
        <row r="607">
          <cell r="G607">
            <v>0</v>
          </cell>
          <cell r="L607" t="str">
            <v/>
          </cell>
        </row>
        <row r="608">
          <cell r="G608">
            <v>0</v>
          </cell>
          <cell r="L608" t="str">
            <v/>
          </cell>
        </row>
        <row r="609">
          <cell r="G609">
            <v>0</v>
          </cell>
          <cell r="L609" t="str">
            <v/>
          </cell>
        </row>
        <row r="610">
          <cell r="G610">
            <v>0</v>
          </cell>
          <cell r="L610" t="str">
            <v/>
          </cell>
        </row>
        <row r="611">
          <cell r="G611">
            <v>0</v>
          </cell>
          <cell r="L611" t="str">
            <v/>
          </cell>
        </row>
        <row r="612">
          <cell r="G612">
            <v>0</v>
          </cell>
          <cell r="L612" t="str">
            <v/>
          </cell>
        </row>
        <row r="613">
          <cell r="G613">
            <v>0</v>
          </cell>
          <cell r="L613" t="str">
            <v/>
          </cell>
        </row>
        <row r="614">
          <cell r="G614">
            <v>0</v>
          </cell>
          <cell r="L614" t="str">
            <v/>
          </cell>
        </row>
        <row r="615">
          <cell r="G615">
            <v>0</v>
          </cell>
          <cell r="L615" t="str">
            <v/>
          </cell>
        </row>
        <row r="616">
          <cell r="G616">
            <v>0</v>
          </cell>
          <cell r="L616" t="str">
            <v/>
          </cell>
        </row>
        <row r="617">
          <cell r="G617">
            <v>0</v>
          </cell>
          <cell r="L617" t="str">
            <v/>
          </cell>
        </row>
        <row r="618">
          <cell r="G618">
            <v>0</v>
          </cell>
          <cell r="L618" t="str">
            <v/>
          </cell>
        </row>
        <row r="619">
          <cell r="G619">
            <v>0</v>
          </cell>
          <cell r="L619" t="str">
            <v/>
          </cell>
        </row>
        <row r="620">
          <cell r="G620">
            <v>0</v>
          </cell>
          <cell r="L620" t="str">
            <v/>
          </cell>
        </row>
        <row r="621">
          <cell r="G621">
            <v>0</v>
          </cell>
          <cell r="L621" t="str">
            <v/>
          </cell>
        </row>
        <row r="622">
          <cell r="G622">
            <v>0</v>
          </cell>
          <cell r="L622" t="str">
            <v/>
          </cell>
        </row>
        <row r="623">
          <cell r="G623">
            <v>0</v>
          </cell>
          <cell r="L623" t="str">
            <v/>
          </cell>
        </row>
        <row r="624">
          <cell r="G624">
            <v>0</v>
          </cell>
          <cell r="L624" t="str">
            <v/>
          </cell>
        </row>
        <row r="625">
          <cell r="G625">
            <v>0</v>
          </cell>
          <cell r="L625" t="str">
            <v/>
          </cell>
        </row>
        <row r="626">
          <cell r="G626">
            <v>0</v>
          </cell>
          <cell r="L626" t="str">
            <v/>
          </cell>
        </row>
        <row r="627">
          <cell r="G627">
            <v>0</v>
          </cell>
          <cell r="L627" t="str">
            <v/>
          </cell>
        </row>
        <row r="628">
          <cell r="G628">
            <v>0</v>
          </cell>
          <cell r="L628" t="str">
            <v/>
          </cell>
        </row>
        <row r="629">
          <cell r="G629">
            <v>0</v>
          </cell>
          <cell r="L629" t="str">
            <v/>
          </cell>
        </row>
        <row r="630">
          <cell r="G630">
            <v>0</v>
          </cell>
          <cell r="L630" t="str">
            <v/>
          </cell>
        </row>
        <row r="631">
          <cell r="G631">
            <v>0</v>
          </cell>
          <cell r="L631" t="str">
            <v/>
          </cell>
        </row>
        <row r="632">
          <cell r="G632">
            <v>0</v>
          </cell>
          <cell r="L632" t="str">
            <v/>
          </cell>
        </row>
        <row r="633">
          <cell r="G633">
            <v>0</v>
          </cell>
          <cell r="L633" t="str">
            <v/>
          </cell>
        </row>
        <row r="634">
          <cell r="G634">
            <v>0</v>
          </cell>
          <cell r="L634" t="str">
            <v/>
          </cell>
        </row>
        <row r="635">
          <cell r="G635">
            <v>0</v>
          </cell>
          <cell r="L635" t="str">
            <v/>
          </cell>
        </row>
        <row r="636">
          <cell r="G636">
            <v>0</v>
          </cell>
          <cell r="L636" t="str">
            <v/>
          </cell>
        </row>
        <row r="637">
          <cell r="G637">
            <v>0</v>
          </cell>
          <cell r="L637" t="str">
            <v/>
          </cell>
        </row>
        <row r="638">
          <cell r="G638">
            <v>0</v>
          </cell>
          <cell r="L638" t="str">
            <v/>
          </cell>
        </row>
        <row r="639">
          <cell r="G639">
            <v>0</v>
          </cell>
          <cell r="L639" t="str">
            <v/>
          </cell>
        </row>
        <row r="640">
          <cell r="G640">
            <v>0</v>
          </cell>
          <cell r="L640" t="str">
            <v/>
          </cell>
        </row>
        <row r="641">
          <cell r="G641">
            <v>0</v>
          </cell>
          <cell r="L641" t="str">
            <v/>
          </cell>
        </row>
        <row r="642">
          <cell r="G642">
            <v>0</v>
          </cell>
          <cell r="L642" t="str">
            <v/>
          </cell>
        </row>
        <row r="643">
          <cell r="G643">
            <v>0</v>
          </cell>
          <cell r="L643" t="str">
            <v/>
          </cell>
        </row>
        <row r="644">
          <cell r="G644">
            <v>0</v>
          </cell>
          <cell r="L644" t="str">
            <v/>
          </cell>
        </row>
        <row r="645">
          <cell r="G645">
            <v>0</v>
          </cell>
          <cell r="L645" t="str">
            <v/>
          </cell>
        </row>
        <row r="646">
          <cell r="G646">
            <v>0</v>
          </cell>
          <cell r="L646" t="str">
            <v/>
          </cell>
        </row>
        <row r="647">
          <cell r="G647">
            <v>0</v>
          </cell>
          <cell r="L647" t="str">
            <v/>
          </cell>
        </row>
        <row r="648">
          <cell r="G648">
            <v>0</v>
          </cell>
          <cell r="L648" t="str">
            <v/>
          </cell>
        </row>
        <row r="649">
          <cell r="G649">
            <v>0</v>
          </cell>
          <cell r="L649" t="str">
            <v/>
          </cell>
        </row>
        <row r="650">
          <cell r="G650">
            <v>0</v>
          </cell>
          <cell r="L650" t="str">
            <v/>
          </cell>
        </row>
        <row r="651">
          <cell r="G651">
            <v>0</v>
          </cell>
          <cell r="L651" t="str">
            <v/>
          </cell>
        </row>
        <row r="652">
          <cell r="G652">
            <v>0</v>
          </cell>
          <cell r="L652" t="str">
            <v/>
          </cell>
        </row>
        <row r="653">
          <cell r="G653">
            <v>0</v>
          </cell>
          <cell r="L653" t="str">
            <v/>
          </cell>
        </row>
        <row r="654">
          <cell r="G654">
            <v>0</v>
          </cell>
          <cell r="L654" t="str">
            <v/>
          </cell>
        </row>
        <row r="655">
          <cell r="G655">
            <v>0</v>
          </cell>
          <cell r="L655" t="str">
            <v/>
          </cell>
        </row>
        <row r="656">
          <cell r="G656">
            <v>0</v>
          </cell>
          <cell r="L656" t="str">
            <v/>
          </cell>
        </row>
        <row r="657">
          <cell r="G657">
            <v>0</v>
          </cell>
          <cell r="L657" t="str">
            <v/>
          </cell>
        </row>
        <row r="658">
          <cell r="G658">
            <v>0</v>
          </cell>
          <cell r="L658" t="str">
            <v/>
          </cell>
        </row>
        <row r="659">
          <cell r="G659">
            <v>0</v>
          </cell>
          <cell r="L659" t="str">
            <v/>
          </cell>
        </row>
        <row r="660">
          <cell r="G660">
            <v>0</v>
          </cell>
          <cell r="L660" t="str">
            <v/>
          </cell>
        </row>
        <row r="661">
          <cell r="G661">
            <v>0</v>
          </cell>
          <cell r="L661" t="str">
            <v/>
          </cell>
        </row>
        <row r="662">
          <cell r="G662">
            <v>0</v>
          </cell>
          <cell r="L662" t="str">
            <v/>
          </cell>
        </row>
        <row r="663">
          <cell r="G663">
            <v>0</v>
          </cell>
          <cell r="L663" t="str">
            <v/>
          </cell>
        </row>
        <row r="664">
          <cell r="G664">
            <v>0</v>
          </cell>
          <cell r="L664" t="str">
            <v/>
          </cell>
        </row>
        <row r="665">
          <cell r="G665">
            <v>0</v>
          </cell>
          <cell r="L665" t="str">
            <v/>
          </cell>
        </row>
        <row r="666">
          <cell r="G666">
            <v>0</v>
          </cell>
          <cell r="L666" t="str">
            <v/>
          </cell>
        </row>
        <row r="667">
          <cell r="G667">
            <v>0</v>
          </cell>
          <cell r="L667" t="str">
            <v/>
          </cell>
        </row>
        <row r="668">
          <cell r="G668">
            <v>0</v>
          </cell>
          <cell r="L668" t="str">
            <v/>
          </cell>
        </row>
        <row r="669">
          <cell r="G669">
            <v>0</v>
          </cell>
          <cell r="L669" t="str">
            <v/>
          </cell>
        </row>
        <row r="670">
          <cell r="G670">
            <v>0</v>
          </cell>
          <cell r="L670" t="str">
            <v/>
          </cell>
        </row>
        <row r="671">
          <cell r="G671">
            <v>0</v>
          </cell>
          <cell r="L671" t="str">
            <v/>
          </cell>
        </row>
        <row r="672">
          <cell r="G672">
            <v>0</v>
          </cell>
          <cell r="L672" t="str">
            <v/>
          </cell>
        </row>
        <row r="673">
          <cell r="G673">
            <v>0</v>
          </cell>
          <cell r="L673" t="str">
            <v/>
          </cell>
        </row>
        <row r="674">
          <cell r="G674">
            <v>0</v>
          </cell>
          <cell r="L674" t="str">
            <v/>
          </cell>
        </row>
        <row r="675">
          <cell r="G675">
            <v>0</v>
          </cell>
          <cell r="L675" t="str">
            <v/>
          </cell>
        </row>
        <row r="676">
          <cell r="G676">
            <v>0</v>
          </cell>
          <cell r="L676" t="str">
            <v/>
          </cell>
        </row>
        <row r="677">
          <cell r="G677">
            <v>0</v>
          </cell>
          <cell r="L677" t="str">
            <v/>
          </cell>
        </row>
        <row r="678">
          <cell r="G678">
            <v>0</v>
          </cell>
          <cell r="L678" t="str">
            <v/>
          </cell>
        </row>
        <row r="679">
          <cell r="G679">
            <v>0</v>
          </cell>
          <cell r="L679" t="str">
            <v/>
          </cell>
        </row>
        <row r="680">
          <cell r="G680">
            <v>0</v>
          </cell>
          <cell r="L680" t="str">
            <v/>
          </cell>
        </row>
        <row r="681">
          <cell r="G681">
            <v>0</v>
          </cell>
          <cell r="L681" t="str">
            <v/>
          </cell>
        </row>
        <row r="682">
          <cell r="G682">
            <v>0</v>
          </cell>
          <cell r="L682" t="str">
            <v/>
          </cell>
        </row>
        <row r="683">
          <cell r="G683">
            <v>0</v>
          </cell>
          <cell r="L683" t="str">
            <v/>
          </cell>
        </row>
        <row r="684">
          <cell r="G684">
            <v>0</v>
          </cell>
          <cell r="L684" t="str">
            <v/>
          </cell>
        </row>
        <row r="685">
          <cell r="G685">
            <v>0</v>
          </cell>
          <cell r="L685" t="str">
            <v/>
          </cell>
        </row>
        <row r="686">
          <cell r="G686">
            <v>0</v>
          </cell>
          <cell r="L686" t="str">
            <v/>
          </cell>
        </row>
        <row r="687">
          <cell r="G687">
            <v>0</v>
          </cell>
          <cell r="L687" t="str">
            <v/>
          </cell>
        </row>
        <row r="688">
          <cell r="G688">
            <v>0</v>
          </cell>
          <cell r="L688" t="str">
            <v/>
          </cell>
        </row>
        <row r="689">
          <cell r="G689">
            <v>0</v>
          </cell>
          <cell r="L689" t="str">
            <v/>
          </cell>
        </row>
        <row r="690">
          <cell r="G690">
            <v>0</v>
          </cell>
          <cell r="L690" t="str">
            <v/>
          </cell>
        </row>
        <row r="691">
          <cell r="G691">
            <v>0</v>
          </cell>
          <cell r="L691" t="str">
            <v/>
          </cell>
        </row>
        <row r="692">
          <cell r="G692">
            <v>0</v>
          </cell>
          <cell r="L692" t="str">
            <v/>
          </cell>
        </row>
        <row r="693">
          <cell r="G693">
            <v>0</v>
          </cell>
          <cell r="L693" t="str">
            <v/>
          </cell>
        </row>
        <row r="694">
          <cell r="G694">
            <v>0</v>
          </cell>
          <cell r="L694" t="str">
            <v/>
          </cell>
        </row>
        <row r="695">
          <cell r="G695">
            <v>0</v>
          </cell>
          <cell r="L695" t="str">
            <v/>
          </cell>
        </row>
        <row r="696">
          <cell r="G696">
            <v>0</v>
          </cell>
          <cell r="L696" t="str">
            <v/>
          </cell>
        </row>
        <row r="697">
          <cell r="G697">
            <v>0</v>
          </cell>
          <cell r="L697" t="str">
            <v/>
          </cell>
        </row>
        <row r="698">
          <cell r="G698">
            <v>0</v>
          </cell>
          <cell r="L698" t="str">
            <v/>
          </cell>
        </row>
        <row r="699">
          <cell r="G699">
            <v>0</v>
          </cell>
          <cell r="L699" t="str">
            <v/>
          </cell>
        </row>
        <row r="700">
          <cell r="G700">
            <v>0</v>
          </cell>
          <cell r="L700" t="str">
            <v/>
          </cell>
        </row>
        <row r="701">
          <cell r="G701">
            <v>0</v>
          </cell>
          <cell r="L701" t="str">
            <v/>
          </cell>
        </row>
        <row r="702">
          <cell r="G702">
            <v>0</v>
          </cell>
          <cell r="L702" t="str">
            <v/>
          </cell>
        </row>
        <row r="703">
          <cell r="G703">
            <v>0</v>
          </cell>
          <cell r="L703" t="str">
            <v/>
          </cell>
        </row>
        <row r="704">
          <cell r="G704">
            <v>0</v>
          </cell>
          <cell r="L704" t="str">
            <v/>
          </cell>
        </row>
        <row r="705">
          <cell r="G705">
            <v>0</v>
          </cell>
          <cell r="L705" t="str">
            <v/>
          </cell>
        </row>
        <row r="706">
          <cell r="G706">
            <v>0</v>
          </cell>
          <cell r="L706" t="str">
            <v/>
          </cell>
        </row>
        <row r="707">
          <cell r="G707">
            <v>0</v>
          </cell>
          <cell r="L707" t="str">
            <v/>
          </cell>
        </row>
        <row r="708">
          <cell r="G708">
            <v>0</v>
          </cell>
          <cell r="L708" t="str">
            <v/>
          </cell>
        </row>
        <row r="709">
          <cell r="G709">
            <v>0</v>
          </cell>
          <cell r="L709" t="str">
            <v/>
          </cell>
        </row>
        <row r="710">
          <cell r="G710">
            <v>0</v>
          </cell>
          <cell r="L710" t="str">
            <v/>
          </cell>
        </row>
        <row r="711">
          <cell r="G711">
            <v>0</v>
          </cell>
          <cell r="L711" t="str">
            <v/>
          </cell>
        </row>
        <row r="712">
          <cell r="G712">
            <v>0</v>
          </cell>
          <cell r="L712" t="str">
            <v/>
          </cell>
        </row>
        <row r="713">
          <cell r="G713">
            <v>0</v>
          </cell>
          <cell r="L713" t="str">
            <v/>
          </cell>
        </row>
        <row r="714">
          <cell r="G714">
            <v>0</v>
          </cell>
          <cell r="L714" t="str">
            <v/>
          </cell>
        </row>
        <row r="715">
          <cell r="G715">
            <v>0</v>
          </cell>
          <cell r="L715" t="str">
            <v/>
          </cell>
        </row>
        <row r="716">
          <cell r="G716">
            <v>0</v>
          </cell>
          <cell r="L716" t="str">
            <v/>
          </cell>
        </row>
        <row r="717">
          <cell r="G717">
            <v>0</v>
          </cell>
          <cell r="L717" t="str">
            <v/>
          </cell>
        </row>
        <row r="718">
          <cell r="G718">
            <v>0</v>
          </cell>
          <cell r="L718" t="str">
            <v/>
          </cell>
        </row>
        <row r="719">
          <cell r="G719">
            <v>0</v>
          </cell>
          <cell r="L719" t="str">
            <v/>
          </cell>
        </row>
        <row r="720">
          <cell r="G720">
            <v>0</v>
          </cell>
          <cell r="L720" t="str">
            <v/>
          </cell>
        </row>
        <row r="721">
          <cell r="G721">
            <v>0</v>
          </cell>
          <cell r="L721" t="str">
            <v/>
          </cell>
        </row>
        <row r="722">
          <cell r="G722">
            <v>0</v>
          </cell>
          <cell r="L722" t="str">
            <v/>
          </cell>
        </row>
        <row r="723">
          <cell r="G723">
            <v>0</v>
          </cell>
          <cell r="L723" t="str">
            <v/>
          </cell>
        </row>
        <row r="724">
          <cell r="G724">
            <v>0</v>
          </cell>
          <cell r="L724" t="str">
            <v/>
          </cell>
        </row>
        <row r="725">
          <cell r="G725">
            <v>0</v>
          </cell>
          <cell r="L725" t="str">
            <v/>
          </cell>
        </row>
        <row r="726">
          <cell r="G726">
            <v>0</v>
          </cell>
          <cell r="L726" t="str">
            <v/>
          </cell>
        </row>
        <row r="727">
          <cell r="G727">
            <v>0</v>
          </cell>
          <cell r="L727" t="str">
            <v/>
          </cell>
        </row>
        <row r="728">
          <cell r="G728">
            <v>0</v>
          </cell>
          <cell r="L728" t="str">
            <v/>
          </cell>
        </row>
        <row r="729">
          <cell r="G729">
            <v>0</v>
          </cell>
          <cell r="L729" t="str">
            <v/>
          </cell>
        </row>
        <row r="730">
          <cell r="G730">
            <v>0</v>
          </cell>
          <cell r="L730" t="str">
            <v/>
          </cell>
        </row>
        <row r="731">
          <cell r="G731">
            <v>0</v>
          </cell>
          <cell r="L731" t="str">
            <v/>
          </cell>
        </row>
        <row r="732">
          <cell r="G732">
            <v>0</v>
          </cell>
          <cell r="L732" t="str">
            <v/>
          </cell>
        </row>
        <row r="733">
          <cell r="G733">
            <v>0</v>
          </cell>
          <cell r="L733" t="str">
            <v/>
          </cell>
        </row>
        <row r="734">
          <cell r="G734">
            <v>0</v>
          </cell>
          <cell r="L734" t="str">
            <v/>
          </cell>
        </row>
        <row r="735">
          <cell r="G735">
            <v>0</v>
          </cell>
          <cell r="L735" t="str">
            <v/>
          </cell>
        </row>
        <row r="736">
          <cell r="G736">
            <v>0</v>
          </cell>
          <cell r="L736" t="str">
            <v/>
          </cell>
        </row>
        <row r="737">
          <cell r="G737">
            <v>0</v>
          </cell>
          <cell r="L737" t="str">
            <v/>
          </cell>
        </row>
        <row r="738">
          <cell r="G738">
            <v>0</v>
          </cell>
          <cell r="L738" t="str">
            <v/>
          </cell>
        </row>
        <row r="739">
          <cell r="G739">
            <v>0</v>
          </cell>
          <cell r="L739" t="str">
            <v/>
          </cell>
        </row>
        <row r="740">
          <cell r="G740">
            <v>0</v>
          </cell>
          <cell r="L740" t="str">
            <v/>
          </cell>
        </row>
        <row r="741">
          <cell r="G741">
            <v>0</v>
          </cell>
          <cell r="L741" t="str">
            <v/>
          </cell>
        </row>
        <row r="742">
          <cell r="G742">
            <v>0</v>
          </cell>
          <cell r="L742" t="str">
            <v/>
          </cell>
        </row>
        <row r="743">
          <cell r="G743">
            <v>0</v>
          </cell>
          <cell r="L743" t="str">
            <v/>
          </cell>
        </row>
        <row r="744">
          <cell r="G744">
            <v>0</v>
          </cell>
          <cell r="L744" t="str">
            <v/>
          </cell>
        </row>
        <row r="745">
          <cell r="G745">
            <v>0</v>
          </cell>
          <cell r="L745" t="str">
            <v/>
          </cell>
        </row>
        <row r="746">
          <cell r="G746">
            <v>0</v>
          </cell>
          <cell r="L746" t="str">
            <v/>
          </cell>
        </row>
        <row r="747">
          <cell r="G747">
            <v>0</v>
          </cell>
          <cell r="L747" t="str">
            <v/>
          </cell>
        </row>
        <row r="748">
          <cell r="G748">
            <v>0</v>
          </cell>
          <cell r="L748" t="str">
            <v/>
          </cell>
        </row>
        <row r="749">
          <cell r="G749">
            <v>0</v>
          </cell>
          <cell r="L749" t="str">
            <v/>
          </cell>
        </row>
        <row r="750">
          <cell r="G750">
            <v>0</v>
          </cell>
          <cell r="L750" t="str">
            <v/>
          </cell>
        </row>
        <row r="751">
          <cell r="G751">
            <v>0</v>
          </cell>
          <cell r="L751" t="str">
            <v/>
          </cell>
        </row>
        <row r="752">
          <cell r="G752">
            <v>0</v>
          </cell>
          <cell r="L752" t="str">
            <v/>
          </cell>
        </row>
        <row r="753">
          <cell r="G753">
            <v>0</v>
          </cell>
          <cell r="L753" t="str">
            <v/>
          </cell>
        </row>
        <row r="754">
          <cell r="G754">
            <v>0</v>
          </cell>
          <cell r="L754" t="str">
            <v/>
          </cell>
        </row>
        <row r="755">
          <cell r="G755">
            <v>0</v>
          </cell>
          <cell r="L755" t="str">
            <v/>
          </cell>
        </row>
        <row r="756">
          <cell r="G756">
            <v>0</v>
          </cell>
          <cell r="L756" t="str">
            <v/>
          </cell>
        </row>
        <row r="757">
          <cell r="G757">
            <v>0</v>
          </cell>
          <cell r="L757" t="str">
            <v/>
          </cell>
        </row>
        <row r="758">
          <cell r="G758">
            <v>0</v>
          </cell>
          <cell r="L758" t="str">
            <v/>
          </cell>
        </row>
        <row r="759">
          <cell r="G759">
            <v>0</v>
          </cell>
          <cell r="L759" t="str">
            <v/>
          </cell>
        </row>
        <row r="760">
          <cell r="G760">
            <v>0</v>
          </cell>
          <cell r="L760" t="str">
            <v/>
          </cell>
        </row>
        <row r="761">
          <cell r="G761">
            <v>0</v>
          </cell>
          <cell r="L761" t="str">
            <v/>
          </cell>
        </row>
        <row r="762">
          <cell r="G762">
            <v>0</v>
          </cell>
          <cell r="L762" t="str">
            <v/>
          </cell>
        </row>
        <row r="763">
          <cell r="G763">
            <v>0</v>
          </cell>
          <cell r="L763" t="str">
            <v/>
          </cell>
        </row>
        <row r="764">
          <cell r="G764">
            <v>0</v>
          </cell>
          <cell r="L764" t="str">
            <v/>
          </cell>
        </row>
        <row r="765">
          <cell r="G765">
            <v>0</v>
          </cell>
          <cell r="L765" t="str">
            <v/>
          </cell>
        </row>
        <row r="766">
          <cell r="G766">
            <v>0</v>
          </cell>
          <cell r="L766" t="str">
            <v/>
          </cell>
        </row>
        <row r="767">
          <cell r="G767">
            <v>0</v>
          </cell>
          <cell r="L767" t="str">
            <v/>
          </cell>
        </row>
        <row r="768">
          <cell r="G768">
            <v>0</v>
          </cell>
          <cell r="L768" t="str">
            <v/>
          </cell>
        </row>
        <row r="769">
          <cell r="G769">
            <v>0</v>
          </cell>
          <cell r="L769" t="str">
            <v/>
          </cell>
        </row>
        <row r="770">
          <cell r="G770">
            <v>0</v>
          </cell>
          <cell r="L770" t="str">
            <v/>
          </cell>
        </row>
        <row r="771">
          <cell r="G771">
            <v>0</v>
          </cell>
          <cell r="L771" t="str">
            <v/>
          </cell>
        </row>
        <row r="772">
          <cell r="G772">
            <v>0</v>
          </cell>
          <cell r="L772" t="str">
            <v/>
          </cell>
        </row>
        <row r="773">
          <cell r="G773">
            <v>0</v>
          </cell>
          <cell r="L773" t="str">
            <v/>
          </cell>
        </row>
        <row r="774">
          <cell r="G774">
            <v>0</v>
          </cell>
          <cell r="L774" t="str">
            <v/>
          </cell>
        </row>
        <row r="775">
          <cell r="G775">
            <v>0</v>
          </cell>
          <cell r="L775" t="str">
            <v/>
          </cell>
        </row>
        <row r="776">
          <cell r="G776">
            <v>0</v>
          </cell>
          <cell r="L776" t="str">
            <v/>
          </cell>
        </row>
        <row r="777">
          <cell r="G777">
            <v>0</v>
          </cell>
          <cell r="L777" t="str">
            <v/>
          </cell>
        </row>
        <row r="778">
          <cell r="G778">
            <v>0</v>
          </cell>
          <cell r="L778" t="str">
            <v/>
          </cell>
        </row>
        <row r="779">
          <cell r="G779">
            <v>0</v>
          </cell>
          <cell r="L779" t="str">
            <v/>
          </cell>
        </row>
        <row r="780">
          <cell r="G780">
            <v>0</v>
          </cell>
          <cell r="L780" t="str">
            <v/>
          </cell>
        </row>
        <row r="781">
          <cell r="G781">
            <v>0</v>
          </cell>
          <cell r="L781" t="str">
            <v/>
          </cell>
        </row>
        <row r="782">
          <cell r="G782">
            <v>0</v>
          </cell>
          <cell r="L782" t="str">
            <v/>
          </cell>
        </row>
        <row r="783">
          <cell r="G783">
            <v>0</v>
          </cell>
          <cell r="L783" t="str">
            <v/>
          </cell>
        </row>
        <row r="784">
          <cell r="G784">
            <v>0</v>
          </cell>
          <cell r="L784" t="str">
            <v/>
          </cell>
        </row>
        <row r="785">
          <cell r="G785">
            <v>0</v>
          </cell>
          <cell r="L785" t="str">
            <v/>
          </cell>
        </row>
        <row r="786">
          <cell r="G786">
            <v>0</v>
          </cell>
          <cell r="L786" t="str">
            <v/>
          </cell>
        </row>
        <row r="787">
          <cell r="G787">
            <v>0</v>
          </cell>
          <cell r="L787" t="str">
            <v/>
          </cell>
        </row>
        <row r="788">
          <cell r="G788">
            <v>0</v>
          </cell>
          <cell r="L788" t="str">
            <v/>
          </cell>
        </row>
        <row r="789">
          <cell r="G789">
            <v>0</v>
          </cell>
          <cell r="L789" t="str">
            <v/>
          </cell>
        </row>
        <row r="790">
          <cell r="G790">
            <v>0</v>
          </cell>
          <cell r="L790" t="str">
            <v/>
          </cell>
        </row>
        <row r="791">
          <cell r="G791">
            <v>0</v>
          </cell>
          <cell r="L791" t="str">
            <v/>
          </cell>
        </row>
        <row r="792">
          <cell r="G792">
            <v>0</v>
          </cell>
          <cell r="L792" t="str">
            <v/>
          </cell>
        </row>
        <row r="793">
          <cell r="G793">
            <v>0</v>
          </cell>
          <cell r="L793" t="str">
            <v/>
          </cell>
        </row>
        <row r="794">
          <cell r="G794">
            <v>0</v>
          </cell>
          <cell r="L794" t="str">
            <v/>
          </cell>
        </row>
        <row r="795">
          <cell r="G795">
            <v>0</v>
          </cell>
          <cell r="L795" t="str">
            <v/>
          </cell>
        </row>
        <row r="796">
          <cell r="G796">
            <v>0</v>
          </cell>
          <cell r="L796" t="str">
            <v/>
          </cell>
        </row>
        <row r="797">
          <cell r="G797">
            <v>0</v>
          </cell>
          <cell r="L797" t="str">
            <v/>
          </cell>
        </row>
        <row r="798">
          <cell r="G798">
            <v>0</v>
          </cell>
          <cell r="L798" t="str">
            <v/>
          </cell>
        </row>
        <row r="799">
          <cell r="G799">
            <v>0</v>
          </cell>
          <cell r="L799" t="str">
            <v/>
          </cell>
        </row>
        <row r="800">
          <cell r="G800">
            <v>0</v>
          </cell>
          <cell r="L800" t="str">
            <v/>
          </cell>
        </row>
        <row r="801">
          <cell r="G801">
            <v>0</v>
          </cell>
          <cell r="L801" t="str">
            <v/>
          </cell>
        </row>
        <row r="802">
          <cell r="G802">
            <v>0</v>
          </cell>
          <cell r="L802" t="str">
            <v/>
          </cell>
        </row>
        <row r="803">
          <cell r="G803">
            <v>0</v>
          </cell>
          <cell r="L803" t="str">
            <v/>
          </cell>
        </row>
        <row r="804">
          <cell r="G804">
            <v>0</v>
          </cell>
          <cell r="L804" t="str">
            <v/>
          </cell>
        </row>
        <row r="805">
          <cell r="G805">
            <v>0</v>
          </cell>
          <cell r="L805" t="str">
            <v/>
          </cell>
        </row>
        <row r="806">
          <cell r="G806">
            <v>0</v>
          </cell>
          <cell r="L806" t="str">
            <v/>
          </cell>
        </row>
        <row r="807">
          <cell r="G807">
            <v>0</v>
          </cell>
          <cell r="L807" t="str">
            <v/>
          </cell>
        </row>
        <row r="808">
          <cell r="G808">
            <v>0</v>
          </cell>
          <cell r="L808" t="str">
            <v/>
          </cell>
        </row>
        <row r="809">
          <cell r="G809">
            <v>0</v>
          </cell>
          <cell r="L809" t="str">
            <v/>
          </cell>
        </row>
        <row r="810">
          <cell r="G810">
            <v>0</v>
          </cell>
          <cell r="L810" t="str">
            <v/>
          </cell>
        </row>
        <row r="811">
          <cell r="G811">
            <v>0</v>
          </cell>
          <cell r="L811" t="str">
            <v/>
          </cell>
        </row>
        <row r="812">
          <cell r="G812">
            <v>0</v>
          </cell>
          <cell r="L812" t="str">
            <v/>
          </cell>
        </row>
        <row r="813">
          <cell r="G813">
            <v>0</v>
          </cell>
          <cell r="L813" t="str">
            <v/>
          </cell>
        </row>
        <row r="814">
          <cell r="G814">
            <v>0</v>
          </cell>
          <cell r="L814" t="str">
            <v/>
          </cell>
        </row>
        <row r="815">
          <cell r="G815">
            <v>0</v>
          </cell>
          <cell r="L815" t="str">
            <v/>
          </cell>
        </row>
        <row r="816">
          <cell r="G816">
            <v>0</v>
          </cell>
          <cell r="L816" t="str">
            <v/>
          </cell>
        </row>
        <row r="817">
          <cell r="G817">
            <v>0</v>
          </cell>
          <cell r="L817" t="str">
            <v/>
          </cell>
        </row>
        <row r="818">
          <cell r="G818">
            <v>0</v>
          </cell>
          <cell r="L818" t="str">
            <v/>
          </cell>
        </row>
        <row r="819">
          <cell r="G819">
            <v>0</v>
          </cell>
          <cell r="L819" t="str">
            <v/>
          </cell>
        </row>
        <row r="820">
          <cell r="G820">
            <v>0</v>
          </cell>
          <cell r="L820" t="str">
            <v/>
          </cell>
        </row>
        <row r="821">
          <cell r="G821">
            <v>0</v>
          </cell>
          <cell r="L821" t="str">
            <v/>
          </cell>
        </row>
        <row r="822">
          <cell r="G822">
            <v>0</v>
          </cell>
          <cell r="L822" t="str">
            <v/>
          </cell>
        </row>
        <row r="823">
          <cell r="G823">
            <v>0</v>
          </cell>
          <cell r="L823" t="str">
            <v/>
          </cell>
        </row>
        <row r="824">
          <cell r="G824">
            <v>0</v>
          </cell>
          <cell r="L824" t="str">
            <v/>
          </cell>
        </row>
        <row r="825">
          <cell r="G825">
            <v>0</v>
          </cell>
          <cell r="L825" t="str">
            <v/>
          </cell>
        </row>
        <row r="826">
          <cell r="G826">
            <v>0</v>
          </cell>
          <cell r="L826" t="str">
            <v/>
          </cell>
        </row>
        <row r="827">
          <cell r="G827">
            <v>0</v>
          </cell>
          <cell r="L827" t="str">
            <v/>
          </cell>
        </row>
        <row r="828">
          <cell r="G828">
            <v>0</v>
          </cell>
          <cell r="L828" t="str">
            <v/>
          </cell>
        </row>
        <row r="829">
          <cell r="G829">
            <v>0</v>
          </cell>
          <cell r="L829" t="str">
            <v/>
          </cell>
        </row>
        <row r="830">
          <cell r="G830">
            <v>0</v>
          </cell>
          <cell r="L830" t="str">
            <v/>
          </cell>
        </row>
        <row r="831">
          <cell r="G831">
            <v>0</v>
          </cell>
          <cell r="L831" t="str">
            <v/>
          </cell>
        </row>
        <row r="832">
          <cell r="G832">
            <v>0</v>
          </cell>
          <cell r="L832" t="str">
            <v/>
          </cell>
        </row>
        <row r="833">
          <cell r="G833">
            <v>0</v>
          </cell>
          <cell r="L833" t="str">
            <v/>
          </cell>
        </row>
        <row r="834">
          <cell r="G834">
            <v>0</v>
          </cell>
          <cell r="L834" t="str">
            <v/>
          </cell>
        </row>
        <row r="835">
          <cell r="G835">
            <v>0</v>
          </cell>
          <cell r="L835" t="str">
            <v/>
          </cell>
        </row>
        <row r="836">
          <cell r="G836">
            <v>0</v>
          </cell>
          <cell r="L836" t="str">
            <v/>
          </cell>
        </row>
        <row r="837">
          <cell r="G837">
            <v>0</v>
          </cell>
          <cell r="L837" t="str">
            <v/>
          </cell>
        </row>
        <row r="838">
          <cell r="G838">
            <v>0</v>
          </cell>
          <cell r="L838" t="str">
            <v/>
          </cell>
        </row>
        <row r="839">
          <cell r="G839">
            <v>0</v>
          </cell>
          <cell r="L839" t="str">
            <v/>
          </cell>
        </row>
        <row r="840">
          <cell r="G840">
            <v>0</v>
          </cell>
          <cell r="L840" t="str">
            <v/>
          </cell>
        </row>
        <row r="841">
          <cell r="G841">
            <v>0</v>
          </cell>
          <cell r="L841" t="str">
            <v/>
          </cell>
        </row>
        <row r="842">
          <cell r="G842">
            <v>0</v>
          </cell>
          <cell r="L842" t="str">
            <v/>
          </cell>
        </row>
        <row r="843">
          <cell r="G843">
            <v>0</v>
          </cell>
          <cell r="L843" t="str">
            <v/>
          </cell>
        </row>
        <row r="844">
          <cell r="G844">
            <v>0</v>
          </cell>
          <cell r="L844" t="str">
            <v/>
          </cell>
        </row>
        <row r="845">
          <cell r="G845">
            <v>0</v>
          </cell>
          <cell r="L845" t="str">
            <v/>
          </cell>
        </row>
        <row r="846">
          <cell r="G846">
            <v>0</v>
          </cell>
          <cell r="L846" t="str">
            <v/>
          </cell>
        </row>
        <row r="847">
          <cell r="G847">
            <v>0</v>
          </cell>
          <cell r="L847" t="str">
            <v/>
          </cell>
        </row>
        <row r="848">
          <cell r="G848">
            <v>0</v>
          </cell>
          <cell r="L848" t="str">
            <v/>
          </cell>
        </row>
        <row r="849">
          <cell r="G849">
            <v>0</v>
          </cell>
          <cell r="L849" t="str">
            <v/>
          </cell>
        </row>
        <row r="850">
          <cell r="G850">
            <v>0</v>
          </cell>
          <cell r="L850" t="str">
            <v/>
          </cell>
        </row>
        <row r="851">
          <cell r="G851">
            <v>0</v>
          </cell>
          <cell r="L851" t="str">
            <v/>
          </cell>
        </row>
        <row r="852">
          <cell r="G852">
            <v>0</v>
          </cell>
          <cell r="L852" t="str">
            <v/>
          </cell>
        </row>
        <row r="853">
          <cell r="G853">
            <v>0</v>
          </cell>
          <cell r="L853" t="str">
            <v/>
          </cell>
        </row>
        <row r="854">
          <cell r="G854">
            <v>0</v>
          </cell>
          <cell r="L854" t="str">
            <v/>
          </cell>
        </row>
        <row r="855">
          <cell r="G855">
            <v>0</v>
          </cell>
          <cell r="L855" t="str">
            <v/>
          </cell>
        </row>
        <row r="856">
          <cell r="G856">
            <v>0</v>
          </cell>
          <cell r="L856" t="str">
            <v/>
          </cell>
        </row>
        <row r="857">
          <cell r="G857">
            <v>0</v>
          </cell>
          <cell r="L857" t="str">
            <v/>
          </cell>
        </row>
        <row r="858">
          <cell r="G858">
            <v>0</v>
          </cell>
          <cell r="L858" t="str">
            <v/>
          </cell>
        </row>
        <row r="859">
          <cell r="G859">
            <v>0</v>
          </cell>
          <cell r="L859" t="str">
            <v/>
          </cell>
        </row>
        <row r="860">
          <cell r="G860">
            <v>0</v>
          </cell>
          <cell r="L860" t="str">
            <v/>
          </cell>
        </row>
        <row r="861">
          <cell r="G861">
            <v>0</v>
          </cell>
          <cell r="L861" t="str">
            <v/>
          </cell>
        </row>
        <row r="862">
          <cell r="G862">
            <v>0</v>
          </cell>
          <cell r="L862" t="str">
            <v/>
          </cell>
        </row>
        <row r="863">
          <cell r="G863">
            <v>0</v>
          </cell>
          <cell r="L863" t="str">
            <v/>
          </cell>
        </row>
        <row r="864">
          <cell r="G864">
            <v>0</v>
          </cell>
          <cell r="L864" t="str">
            <v/>
          </cell>
        </row>
        <row r="865">
          <cell r="G865">
            <v>0</v>
          </cell>
          <cell r="L865" t="str">
            <v/>
          </cell>
        </row>
        <row r="866">
          <cell r="G866">
            <v>0</v>
          </cell>
          <cell r="L866" t="str">
            <v/>
          </cell>
        </row>
        <row r="867">
          <cell r="G867">
            <v>0</v>
          </cell>
          <cell r="L867" t="str">
            <v/>
          </cell>
        </row>
        <row r="868">
          <cell r="G868">
            <v>0</v>
          </cell>
          <cell r="L868" t="str">
            <v/>
          </cell>
        </row>
        <row r="869">
          <cell r="G869">
            <v>0</v>
          </cell>
          <cell r="L869" t="str">
            <v/>
          </cell>
        </row>
        <row r="870">
          <cell r="G870">
            <v>0</v>
          </cell>
          <cell r="L870" t="str">
            <v/>
          </cell>
        </row>
        <row r="871">
          <cell r="G871">
            <v>0</v>
          </cell>
          <cell r="L871" t="str">
            <v/>
          </cell>
        </row>
        <row r="872">
          <cell r="G872">
            <v>0</v>
          </cell>
          <cell r="L872" t="str">
            <v/>
          </cell>
        </row>
        <row r="873">
          <cell r="G873">
            <v>0</v>
          </cell>
          <cell r="L873" t="str">
            <v/>
          </cell>
        </row>
        <row r="874">
          <cell r="G874">
            <v>0</v>
          </cell>
          <cell r="L874" t="str">
            <v/>
          </cell>
        </row>
        <row r="875">
          <cell r="G875">
            <v>0</v>
          </cell>
          <cell r="L875" t="str">
            <v/>
          </cell>
        </row>
        <row r="876">
          <cell r="G876">
            <v>0</v>
          </cell>
          <cell r="L876" t="str">
            <v/>
          </cell>
        </row>
        <row r="877">
          <cell r="G877">
            <v>0</v>
          </cell>
          <cell r="L877" t="str">
            <v/>
          </cell>
        </row>
        <row r="878">
          <cell r="G878">
            <v>0</v>
          </cell>
          <cell r="L878" t="str">
            <v/>
          </cell>
        </row>
        <row r="879">
          <cell r="G879">
            <v>0</v>
          </cell>
          <cell r="L879" t="str">
            <v/>
          </cell>
        </row>
        <row r="880">
          <cell r="G880">
            <v>0</v>
          </cell>
          <cell r="L880" t="str">
            <v/>
          </cell>
        </row>
        <row r="881">
          <cell r="G881">
            <v>0</v>
          </cell>
          <cell r="L881" t="str">
            <v/>
          </cell>
        </row>
        <row r="882">
          <cell r="G882">
            <v>0</v>
          </cell>
          <cell r="L882" t="str">
            <v/>
          </cell>
        </row>
        <row r="883">
          <cell r="G883">
            <v>0</v>
          </cell>
          <cell r="L883" t="str">
            <v/>
          </cell>
        </row>
        <row r="884">
          <cell r="G884">
            <v>0</v>
          </cell>
          <cell r="L884" t="str">
            <v/>
          </cell>
        </row>
        <row r="885">
          <cell r="G885">
            <v>0</v>
          </cell>
          <cell r="L885" t="str">
            <v/>
          </cell>
        </row>
        <row r="886">
          <cell r="G886">
            <v>0</v>
          </cell>
          <cell r="L886" t="str">
            <v/>
          </cell>
        </row>
        <row r="887">
          <cell r="G887">
            <v>0</v>
          </cell>
          <cell r="L887" t="str">
            <v/>
          </cell>
        </row>
        <row r="888">
          <cell r="G888">
            <v>0</v>
          </cell>
          <cell r="L888" t="str">
            <v/>
          </cell>
        </row>
        <row r="889">
          <cell r="G889">
            <v>0</v>
          </cell>
          <cell r="L889" t="str">
            <v/>
          </cell>
        </row>
        <row r="890">
          <cell r="G890">
            <v>0</v>
          </cell>
          <cell r="L890" t="str">
            <v/>
          </cell>
        </row>
        <row r="891">
          <cell r="G891">
            <v>0</v>
          </cell>
          <cell r="L891" t="str">
            <v/>
          </cell>
        </row>
        <row r="892">
          <cell r="G892">
            <v>0</v>
          </cell>
          <cell r="L892" t="str">
            <v/>
          </cell>
        </row>
        <row r="893">
          <cell r="G893">
            <v>0</v>
          </cell>
          <cell r="L893" t="str">
            <v/>
          </cell>
        </row>
        <row r="894">
          <cell r="G894">
            <v>0</v>
          </cell>
          <cell r="L894" t="str">
            <v/>
          </cell>
        </row>
        <row r="895">
          <cell r="G895">
            <v>0</v>
          </cell>
          <cell r="L895" t="str">
            <v/>
          </cell>
        </row>
        <row r="896">
          <cell r="G896">
            <v>0</v>
          </cell>
          <cell r="L896" t="str">
            <v/>
          </cell>
        </row>
        <row r="897">
          <cell r="G897">
            <v>0</v>
          </cell>
          <cell r="L897" t="str">
            <v/>
          </cell>
        </row>
        <row r="898">
          <cell r="G898">
            <v>0</v>
          </cell>
          <cell r="L898" t="str">
            <v/>
          </cell>
        </row>
        <row r="899">
          <cell r="G899">
            <v>0</v>
          </cell>
          <cell r="L899" t="str">
            <v/>
          </cell>
        </row>
        <row r="900">
          <cell r="G900">
            <v>0</v>
          </cell>
          <cell r="L900" t="str">
            <v/>
          </cell>
        </row>
        <row r="901">
          <cell r="G901">
            <v>0</v>
          </cell>
          <cell r="L901" t="str">
            <v/>
          </cell>
        </row>
        <row r="902">
          <cell r="G902">
            <v>0</v>
          </cell>
          <cell r="L902" t="str">
            <v/>
          </cell>
        </row>
        <row r="903">
          <cell r="G903">
            <v>0</v>
          </cell>
          <cell r="L903" t="str">
            <v/>
          </cell>
        </row>
        <row r="904">
          <cell r="G904">
            <v>0</v>
          </cell>
          <cell r="L904" t="str">
            <v/>
          </cell>
        </row>
        <row r="905">
          <cell r="G905">
            <v>0</v>
          </cell>
          <cell r="L905" t="str">
            <v/>
          </cell>
        </row>
        <row r="906">
          <cell r="G906">
            <v>0</v>
          </cell>
          <cell r="L906" t="str">
            <v/>
          </cell>
        </row>
        <row r="907">
          <cell r="G907">
            <v>0</v>
          </cell>
          <cell r="L907" t="str">
            <v/>
          </cell>
        </row>
        <row r="908">
          <cell r="G908">
            <v>0</v>
          </cell>
          <cell r="L908" t="str">
            <v/>
          </cell>
        </row>
        <row r="909">
          <cell r="G909">
            <v>0</v>
          </cell>
          <cell r="L909" t="str">
            <v/>
          </cell>
        </row>
        <row r="910">
          <cell r="G910">
            <v>0</v>
          </cell>
          <cell r="L910" t="str">
            <v/>
          </cell>
        </row>
        <row r="911">
          <cell r="G911">
            <v>0</v>
          </cell>
          <cell r="L911" t="str">
            <v/>
          </cell>
        </row>
        <row r="912">
          <cell r="G912">
            <v>0</v>
          </cell>
          <cell r="L912" t="str">
            <v/>
          </cell>
        </row>
        <row r="913">
          <cell r="G913">
            <v>0</v>
          </cell>
          <cell r="L913" t="str">
            <v/>
          </cell>
        </row>
        <row r="914">
          <cell r="G914">
            <v>0</v>
          </cell>
          <cell r="L914" t="str">
            <v/>
          </cell>
        </row>
        <row r="915">
          <cell r="G915">
            <v>0</v>
          </cell>
          <cell r="L915" t="str">
            <v/>
          </cell>
        </row>
        <row r="916">
          <cell r="G916">
            <v>0</v>
          </cell>
          <cell r="L916" t="str">
            <v/>
          </cell>
        </row>
        <row r="917">
          <cell r="G917">
            <v>0</v>
          </cell>
          <cell r="L917" t="str">
            <v/>
          </cell>
        </row>
        <row r="918">
          <cell r="G918">
            <v>0</v>
          </cell>
          <cell r="L918" t="str">
            <v/>
          </cell>
        </row>
        <row r="919">
          <cell r="G919">
            <v>0</v>
          </cell>
          <cell r="L919" t="str">
            <v/>
          </cell>
        </row>
        <row r="920">
          <cell r="G920">
            <v>0</v>
          </cell>
          <cell r="L920" t="str">
            <v/>
          </cell>
        </row>
        <row r="921">
          <cell r="G921">
            <v>0</v>
          </cell>
          <cell r="L921" t="str">
            <v/>
          </cell>
        </row>
        <row r="922">
          <cell r="G922">
            <v>0</v>
          </cell>
          <cell r="L922" t="str">
            <v/>
          </cell>
        </row>
        <row r="923">
          <cell r="G923">
            <v>0</v>
          </cell>
          <cell r="L923" t="str">
            <v/>
          </cell>
        </row>
        <row r="924">
          <cell r="G924">
            <v>0</v>
          </cell>
          <cell r="L924" t="str">
            <v/>
          </cell>
        </row>
        <row r="925">
          <cell r="G925">
            <v>0</v>
          </cell>
          <cell r="L925" t="str">
            <v/>
          </cell>
        </row>
        <row r="926">
          <cell r="G926">
            <v>0</v>
          </cell>
          <cell r="L926" t="str">
            <v/>
          </cell>
        </row>
        <row r="927">
          <cell r="G927">
            <v>0</v>
          </cell>
          <cell r="L927" t="str">
            <v/>
          </cell>
        </row>
        <row r="928">
          <cell r="G928">
            <v>0</v>
          </cell>
          <cell r="L928" t="str">
            <v/>
          </cell>
        </row>
        <row r="929">
          <cell r="G929">
            <v>0</v>
          </cell>
          <cell r="L929" t="str">
            <v/>
          </cell>
        </row>
        <row r="930">
          <cell r="G930">
            <v>0</v>
          </cell>
          <cell r="L930" t="str">
            <v/>
          </cell>
        </row>
        <row r="931">
          <cell r="G931">
            <v>0</v>
          </cell>
          <cell r="L931" t="str">
            <v/>
          </cell>
        </row>
        <row r="932">
          <cell r="G932">
            <v>0</v>
          </cell>
          <cell r="L932" t="str">
            <v/>
          </cell>
        </row>
        <row r="933">
          <cell r="G933">
            <v>0</v>
          </cell>
          <cell r="L933" t="str">
            <v/>
          </cell>
        </row>
        <row r="934">
          <cell r="G934">
            <v>0</v>
          </cell>
          <cell r="L934" t="str">
            <v/>
          </cell>
        </row>
        <row r="935">
          <cell r="G935">
            <v>0</v>
          </cell>
          <cell r="L935" t="str">
            <v/>
          </cell>
        </row>
        <row r="936">
          <cell r="G936">
            <v>0</v>
          </cell>
          <cell r="L936" t="str">
            <v/>
          </cell>
        </row>
        <row r="937">
          <cell r="G937">
            <v>0</v>
          </cell>
          <cell r="L937" t="str">
            <v/>
          </cell>
        </row>
        <row r="938">
          <cell r="G938">
            <v>0</v>
          </cell>
          <cell r="L938" t="str">
            <v/>
          </cell>
        </row>
        <row r="939">
          <cell r="G939">
            <v>0</v>
          </cell>
          <cell r="L939" t="str">
            <v/>
          </cell>
        </row>
        <row r="940">
          <cell r="G940">
            <v>0</v>
          </cell>
          <cell r="L940" t="str">
            <v/>
          </cell>
        </row>
        <row r="941">
          <cell r="G941">
            <v>0</v>
          </cell>
          <cell r="L941" t="str">
            <v/>
          </cell>
        </row>
        <row r="942">
          <cell r="G942">
            <v>0</v>
          </cell>
          <cell r="L942" t="str">
            <v/>
          </cell>
        </row>
        <row r="943">
          <cell r="G943">
            <v>0</v>
          </cell>
          <cell r="L943" t="str">
            <v/>
          </cell>
        </row>
        <row r="944">
          <cell r="G944">
            <v>0</v>
          </cell>
          <cell r="L944" t="str">
            <v/>
          </cell>
        </row>
        <row r="945">
          <cell r="G945">
            <v>0</v>
          </cell>
          <cell r="L945" t="str">
            <v/>
          </cell>
        </row>
        <row r="946">
          <cell r="G946">
            <v>0</v>
          </cell>
          <cell r="L946" t="str">
            <v/>
          </cell>
        </row>
        <row r="947">
          <cell r="G947">
            <v>0</v>
          </cell>
          <cell r="L947" t="str">
            <v/>
          </cell>
        </row>
        <row r="948">
          <cell r="G948">
            <v>0</v>
          </cell>
          <cell r="L948" t="str">
            <v/>
          </cell>
        </row>
        <row r="949">
          <cell r="G949">
            <v>0</v>
          </cell>
          <cell r="L949" t="str">
            <v/>
          </cell>
        </row>
        <row r="950">
          <cell r="G950">
            <v>0</v>
          </cell>
          <cell r="L950" t="str">
            <v/>
          </cell>
        </row>
        <row r="951">
          <cell r="G951">
            <v>0</v>
          </cell>
          <cell r="L951" t="str">
            <v/>
          </cell>
        </row>
        <row r="952">
          <cell r="G952">
            <v>0</v>
          </cell>
          <cell r="L952" t="str">
            <v/>
          </cell>
        </row>
        <row r="953">
          <cell r="G953">
            <v>0</v>
          </cell>
          <cell r="L953" t="str">
            <v/>
          </cell>
        </row>
        <row r="954">
          <cell r="G954">
            <v>0</v>
          </cell>
          <cell r="L954" t="str">
            <v/>
          </cell>
        </row>
        <row r="955">
          <cell r="G955">
            <v>0</v>
          </cell>
          <cell r="L955" t="str">
            <v/>
          </cell>
        </row>
        <row r="956">
          <cell r="G956">
            <v>0</v>
          </cell>
          <cell r="L956" t="str">
            <v/>
          </cell>
        </row>
        <row r="957">
          <cell r="G957">
            <v>0</v>
          </cell>
          <cell r="L957" t="str">
            <v/>
          </cell>
        </row>
        <row r="958">
          <cell r="G958">
            <v>0</v>
          </cell>
          <cell r="L958" t="str">
            <v/>
          </cell>
        </row>
        <row r="959">
          <cell r="G959">
            <v>0</v>
          </cell>
          <cell r="L959" t="str">
            <v/>
          </cell>
        </row>
        <row r="960">
          <cell r="G960">
            <v>0</v>
          </cell>
          <cell r="L960" t="str">
            <v/>
          </cell>
        </row>
        <row r="961">
          <cell r="G961">
            <v>0</v>
          </cell>
          <cell r="L961" t="str">
            <v/>
          </cell>
        </row>
        <row r="962">
          <cell r="G962">
            <v>0</v>
          </cell>
          <cell r="L962" t="str">
            <v/>
          </cell>
        </row>
        <row r="963">
          <cell r="G963">
            <v>0</v>
          </cell>
          <cell r="L963" t="str">
            <v/>
          </cell>
        </row>
        <row r="964">
          <cell r="G964">
            <v>0</v>
          </cell>
          <cell r="L964" t="str">
            <v/>
          </cell>
        </row>
        <row r="965">
          <cell r="G965">
            <v>0</v>
          </cell>
          <cell r="L965" t="str">
            <v/>
          </cell>
        </row>
        <row r="966">
          <cell r="G966">
            <v>0</v>
          </cell>
          <cell r="L966" t="str">
            <v/>
          </cell>
        </row>
        <row r="967">
          <cell r="G967">
            <v>0</v>
          </cell>
          <cell r="L967" t="str">
            <v/>
          </cell>
        </row>
        <row r="968">
          <cell r="G968">
            <v>0</v>
          </cell>
          <cell r="L968" t="str">
            <v/>
          </cell>
        </row>
        <row r="969">
          <cell r="G969">
            <v>0</v>
          </cell>
          <cell r="L969" t="str">
            <v/>
          </cell>
        </row>
        <row r="970">
          <cell r="G970">
            <v>0</v>
          </cell>
          <cell r="L970" t="str">
            <v/>
          </cell>
        </row>
        <row r="971">
          <cell r="G971">
            <v>0</v>
          </cell>
          <cell r="L971" t="str">
            <v/>
          </cell>
        </row>
        <row r="972">
          <cell r="G972">
            <v>0</v>
          </cell>
          <cell r="L972" t="str">
            <v/>
          </cell>
        </row>
        <row r="973">
          <cell r="G973">
            <v>0</v>
          </cell>
          <cell r="L973" t="str">
            <v/>
          </cell>
        </row>
        <row r="974">
          <cell r="G974">
            <v>0</v>
          </cell>
          <cell r="L974" t="str">
            <v/>
          </cell>
        </row>
        <row r="975">
          <cell r="G975">
            <v>0</v>
          </cell>
          <cell r="L975" t="str">
            <v/>
          </cell>
        </row>
        <row r="976">
          <cell r="G976">
            <v>0</v>
          </cell>
          <cell r="L976" t="str">
            <v/>
          </cell>
        </row>
        <row r="977">
          <cell r="G977">
            <v>0</v>
          </cell>
          <cell r="L977" t="str">
            <v/>
          </cell>
        </row>
        <row r="978">
          <cell r="G978">
            <v>0</v>
          </cell>
          <cell r="L978" t="str">
            <v/>
          </cell>
        </row>
        <row r="979">
          <cell r="G979">
            <v>0</v>
          </cell>
          <cell r="L979" t="str">
            <v/>
          </cell>
        </row>
        <row r="980">
          <cell r="G980">
            <v>0</v>
          </cell>
          <cell r="L980" t="str">
            <v/>
          </cell>
        </row>
        <row r="981">
          <cell r="G981">
            <v>0</v>
          </cell>
          <cell r="L981" t="str">
            <v/>
          </cell>
        </row>
        <row r="982">
          <cell r="G982">
            <v>0</v>
          </cell>
          <cell r="L982" t="str">
            <v/>
          </cell>
        </row>
        <row r="983">
          <cell r="G983">
            <v>0</v>
          </cell>
          <cell r="L983" t="str">
            <v/>
          </cell>
        </row>
        <row r="984">
          <cell r="G984">
            <v>0</v>
          </cell>
          <cell r="L984" t="str">
            <v/>
          </cell>
        </row>
        <row r="985">
          <cell r="G985">
            <v>0</v>
          </cell>
          <cell r="L985" t="str">
            <v/>
          </cell>
        </row>
        <row r="986">
          <cell r="G986">
            <v>0</v>
          </cell>
          <cell r="L986" t="str">
            <v/>
          </cell>
        </row>
        <row r="987">
          <cell r="G987">
            <v>0</v>
          </cell>
          <cell r="L987" t="str">
            <v/>
          </cell>
        </row>
        <row r="988">
          <cell r="G988">
            <v>0</v>
          </cell>
          <cell r="L988" t="str">
            <v/>
          </cell>
        </row>
        <row r="989">
          <cell r="G989">
            <v>0</v>
          </cell>
          <cell r="L989" t="str">
            <v/>
          </cell>
        </row>
        <row r="990">
          <cell r="G990">
            <v>0</v>
          </cell>
          <cell r="L990" t="str">
            <v/>
          </cell>
        </row>
        <row r="991">
          <cell r="G991">
            <v>0</v>
          </cell>
          <cell r="L991" t="str">
            <v/>
          </cell>
        </row>
        <row r="992">
          <cell r="G992">
            <v>0</v>
          </cell>
          <cell r="L992" t="str">
            <v/>
          </cell>
        </row>
        <row r="993">
          <cell r="G993">
            <v>0</v>
          </cell>
          <cell r="L993" t="str">
            <v/>
          </cell>
        </row>
        <row r="994">
          <cell r="G994">
            <v>0</v>
          </cell>
          <cell r="L994" t="str">
            <v/>
          </cell>
        </row>
        <row r="995">
          <cell r="G995">
            <v>0</v>
          </cell>
          <cell r="L995" t="str">
            <v/>
          </cell>
        </row>
        <row r="996">
          <cell r="G996">
            <v>0</v>
          </cell>
          <cell r="L996" t="str">
            <v/>
          </cell>
        </row>
        <row r="997">
          <cell r="G997">
            <v>0</v>
          </cell>
          <cell r="L997" t="str">
            <v/>
          </cell>
        </row>
        <row r="998">
          <cell r="G998">
            <v>0</v>
          </cell>
          <cell r="L998" t="str">
            <v/>
          </cell>
        </row>
        <row r="999">
          <cell r="G999">
            <v>0</v>
          </cell>
          <cell r="L999" t="str">
            <v/>
          </cell>
        </row>
        <row r="1000">
          <cell r="G1000">
            <v>0</v>
          </cell>
          <cell r="L1000" t="str">
            <v/>
          </cell>
        </row>
        <row r="1001">
          <cell r="G1001">
            <v>0</v>
          </cell>
          <cell r="L1001" t="str">
            <v/>
          </cell>
        </row>
        <row r="1002">
          <cell r="G1002">
            <v>0</v>
          </cell>
          <cell r="L1002" t="str">
            <v/>
          </cell>
        </row>
        <row r="1003">
          <cell r="G1003">
            <v>0</v>
          </cell>
          <cell r="L1003" t="str">
            <v/>
          </cell>
        </row>
        <row r="1004">
          <cell r="G1004">
            <v>0</v>
          </cell>
          <cell r="L1004" t="str">
            <v/>
          </cell>
        </row>
        <row r="1005">
          <cell r="G1005">
            <v>0</v>
          </cell>
          <cell r="L1005" t="str">
            <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alculator"/>
      <sheetName val="Feature and delivery timeline"/>
      <sheetName val="CHANGE LOG"/>
      <sheetName val="ISSUE TYPES"/>
    </sheetNames>
    <sheetDataSet>
      <sheetData sheetId="0"/>
      <sheetData sheetId="1"/>
      <sheetData sheetId="2"/>
      <sheetData sheetId="3">
        <row r="3">
          <cell r="B3" t="str">
            <v>ORIGINAL</v>
          </cell>
        </row>
        <row r="4">
          <cell r="B4" t="str">
            <v>NEW FEATURE</v>
          </cell>
        </row>
        <row r="5">
          <cell r="H5" t="str">
            <v>STATUS</v>
          </cell>
        </row>
        <row r="6">
          <cell r="G6">
            <v>0</v>
          </cell>
          <cell r="H6" t="str">
            <v>NOT STARTED</v>
          </cell>
        </row>
        <row r="7">
          <cell r="G7">
            <v>0.05</v>
          </cell>
          <cell r="H7" t="str">
            <v>IN RPOGRESS</v>
          </cell>
        </row>
        <row r="8">
          <cell r="G8">
            <v>1</v>
          </cell>
          <cell r="H8" t="str">
            <v>COMPLETED</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5" displayName="Table5" ref="B18:O1005" totalsRowShown="0" headerRowDxfId="50" dataDxfId="49">
  <autoFilter ref="B18:O1005" xr:uid="{00000000-0009-0000-0100-000001000000}"/>
  <tableColumns count="14">
    <tableColumn id="2" xr3:uid="{00000000-0010-0000-0000-000002000000}" name="FEATURE " dataDxfId="48"/>
    <tableColumn id="3" xr3:uid="{00000000-0010-0000-0000-000003000000}" name="SCOPE" dataDxfId="47"/>
    <tableColumn id="13" xr3:uid="{00000000-0010-0000-0000-00000D000000}" name="ACCEPTANCE STATUS" dataDxfId="46"/>
    <tableColumn id="11" xr3:uid="{00000000-0010-0000-0000-00000B000000}" name="Start date" dataDxfId="45"/>
    <tableColumn id="12" xr3:uid="{00000000-0010-0000-0000-00000C000000}" name="End date" dataDxfId="44"/>
    <tableColumn id="4" xr3:uid="{00000000-0010-0000-0000-000004000000}" name="SP" dataDxfId="43">
      <calculatedColumnFormula>ROUND($C$16*Table5[[#This Row],[Hours]],2)</calculatedColumnFormula>
    </tableColumn>
    <tableColumn id="9" xr3:uid="{00000000-0010-0000-0000-000009000000}" name="Hours" dataDxfId="42"/>
    <tableColumn id="5" xr3:uid="{00000000-0010-0000-0000-000005000000}" name="Developer" dataDxfId="41"/>
    <tableColumn id="6" xr3:uid="{00000000-0010-0000-0000-000006000000}" name="PRIORITY" dataDxfId="40"/>
    <tableColumn id="7" xr3:uid="{00000000-0010-0000-0000-000007000000}" name="COMPLETION %" dataDxfId="39"/>
    <tableColumn id="8" xr3:uid="{00000000-0010-0000-0000-000008000000}" name="DEVELOPMENT STATUS" dataDxfId="38">
      <calculatedColumnFormula>IF(AND(LEN(K19)&gt;0,D19="APPROVED"),VLOOKUP(Table5[[#This Row],[COMPLETION %]],COMPL_STATUS,2,1),"")</calculatedColumnFormula>
    </tableColumn>
    <tableColumn id="16" xr3:uid="{00000000-0010-0000-0000-000010000000}" name="REVIEWER" dataDxfId="37"/>
    <tableColumn id="15" xr3:uid="{00000000-0010-0000-0000-00000F000000}" name="PEER REVIEW STATUS" dataDxfId="36"/>
    <tableColumn id="14" xr3:uid="{00000000-0010-0000-0000-00000E000000}" name="REMARKS" dataDxfId="35"/>
  </tableColumns>
  <tableStyleInfo name="SAP TABLE STYL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Z64"/>
  <sheetViews>
    <sheetView tabSelected="1" zoomScale="90" zoomScaleNormal="90" workbookViewId="0">
      <selection activeCell="E10" sqref="E10"/>
    </sheetView>
  </sheetViews>
  <sheetFormatPr defaultColWidth="11.28515625" defaultRowHeight="15"/>
  <cols>
    <col min="1" max="1" width="2.85546875" style="3" customWidth="1"/>
    <col min="2" max="2" width="15.28515625" style="3" customWidth="1"/>
    <col min="3" max="3" width="6.140625" style="3" bestFit="1" customWidth="1"/>
    <col min="4" max="4" width="61.7109375" style="9" customWidth="1"/>
    <col min="5" max="5" width="4.28515625" style="3" customWidth="1"/>
    <col min="6" max="6" width="3.7109375" style="1" hidden="1" customWidth="1"/>
    <col min="7" max="7" width="61.7109375" style="3" customWidth="1"/>
    <col min="8" max="8" width="4.28515625" style="3" customWidth="1"/>
    <col min="9" max="9" width="4" style="1" hidden="1" customWidth="1"/>
    <col min="10" max="10" width="61.7109375" style="3" customWidth="1"/>
    <col min="11" max="11" width="4.28515625" style="3" customWidth="1"/>
    <col min="12" max="12" width="4" style="3" hidden="1" customWidth="1"/>
    <col min="13" max="13" width="61.7109375" style="1" customWidth="1"/>
    <col min="14" max="14" width="4.28515625" style="1" customWidth="1"/>
    <col min="15" max="15" width="4" style="1" hidden="1" customWidth="1"/>
    <col min="16" max="16" width="61.7109375" style="2" customWidth="1"/>
    <col min="17" max="17" width="4.28515625" style="3" customWidth="1"/>
    <col min="18" max="18" width="3.7109375" style="3" hidden="1" customWidth="1"/>
    <col min="19" max="19" width="26" style="3" customWidth="1"/>
    <col min="20" max="20" width="11.28515625" style="3"/>
    <col min="21" max="23" width="10.140625" style="3" customWidth="1"/>
    <col min="24" max="16384" width="11.28515625" style="3"/>
  </cols>
  <sheetData>
    <row r="1" spans="2:26" ht="18">
      <c r="D1" s="37" t="s">
        <v>0</v>
      </c>
    </row>
    <row r="2" spans="2:26">
      <c r="D2" s="38" t="s">
        <v>1</v>
      </c>
    </row>
    <row r="3" spans="2:26">
      <c r="D3" s="18" t="s">
        <v>2</v>
      </c>
    </row>
    <row r="4" spans="2:26">
      <c r="D4" s="18" t="s">
        <v>120</v>
      </c>
    </row>
    <row r="5" spans="2:26">
      <c r="D5" s="18" t="s">
        <v>3</v>
      </c>
    </row>
    <row r="6" spans="2:26">
      <c r="D6" s="18" t="s">
        <v>4</v>
      </c>
      <c r="G6" s="4"/>
    </row>
    <row r="7" spans="2:26" ht="3.75" customHeight="1" thickBot="1">
      <c r="D7" s="5"/>
    </row>
    <row r="8" spans="2:26" s="107" customFormat="1" ht="15.75" thickBot="1">
      <c r="D8" s="187" t="s">
        <v>5</v>
      </c>
      <c r="E8" s="188"/>
      <c r="F8" s="188"/>
      <c r="G8" s="188"/>
      <c r="H8" s="188"/>
      <c r="I8" s="188"/>
      <c r="J8" s="188"/>
      <c r="K8" s="188"/>
      <c r="L8" s="188"/>
      <c r="M8" s="188"/>
      <c r="N8" s="188"/>
      <c r="O8" s="188"/>
      <c r="P8" s="188"/>
      <c r="Q8" s="188"/>
      <c r="R8" s="189"/>
    </row>
    <row r="9" spans="2:26" s="154" customFormat="1" ht="50.25" thickBot="1">
      <c r="D9" s="161" t="s">
        <v>119</v>
      </c>
      <c r="E9" s="36" t="s">
        <v>7</v>
      </c>
      <c r="F9" s="157"/>
      <c r="G9" s="160" t="s">
        <v>6</v>
      </c>
      <c r="H9" s="36" t="s">
        <v>7</v>
      </c>
      <c r="I9" s="157"/>
      <c r="J9" s="159" t="s">
        <v>8</v>
      </c>
      <c r="K9" s="36" t="s">
        <v>7</v>
      </c>
      <c r="L9" s="157"/>
      <c r="M9" s="158" t="s">
        <v>9</v>
      </c>
      <c r="N9" s="36" t="s">
        <v>7</v>
      </c>
      <c r="O9" s="157"/>
      <c r="P9" s="156" t="s">
        <v>10</v>
      </c>
      <c r="Q9" s="10" t="s">
        <v>7</v>
      </c>
      <c r="R9" s="155"/>
      <c r="S9" s="154" t="s">
        <v>11</v>
      </c>
      <c r="T9" s="154" t="s">
        <v>12</v>
      </c>
      <c r="U9" s="154" t="s">
        <v>13</v>
      </c>
      <c r="V9" s="154" t="s">
        <v>14</v>
      </c>
    </row>
    <row r="10" spans="2:26" s="27" customFormat="1" ht="83.25" customHeight="1">
      <c r="B10" s="22">
        <f>COUNTA(E10,H10,K10,N10,Q10)</f>
        <v>1</v>
      </c>
      <c r="C10" s="23" t="s">
        <v>15</v>
      </c>
      <c r="D10" s="153" t="s">
        <v>16</v>
      </c>
      <c r="E10" s="24"/>
      <c r="F10" s="25" t="str">
        <f>IF(E10="x",S10,"")</f>
        <v/>
      </c>
      <c r="G10" s="13" t="s">
        <v>16</v>
      </c>
      <c r="H10" s="24"/>
      <c r="I10" s="25" t="str">
        <f>IF(H10="x",S10,"")</f>
        <v/>
      </c>
      <c r="J10" s="14" t="s">
        <v>17</v>
      </c>
      <c r="K10" s="24"/>
      <c r="L10" s="25" t="str">
        <f>IF(K10="x",T10,"")</f>
        <v/>
      </c>
      <c r="M10" s="14" t="s">
        <v>18</v>
      </c>
      <c r="N10" s="24"/>
      <c r="O10" s="25" t="str">
        <f>IF(N10="x",U10,"")</f>
        <v/>
      </c>
      <c r="P10" s="14" t="s">
        <v>19</v>
      </c>
      <c r="Q10" s="24" t="s">
        <v>7</v>
      </c>
      <c r="R10" s="152">
        <f>IF(Q10="x",V10,"")</f>
        <v>8</v>
      </c>
      <c r="S10" s="26">
        <v>2</v>
      </c>
      <c r="T10" s="26">
        <v>4</v>
      </c>
      <c r="U10" s="26">
        <v>6</v>
      </c>
      <c r="V10" s="26">
        <v>8</v>
      </c>
      <c r="X10" s="222" t="s">
        <v>20</v>
      </c>
      <c r="Y10" s="222"/>
      <c r="Z10" s="222"/>
    </row>
    <row r="11" spans="2:26" s="27" customFormat="1" ht="48">
      <c r="B11" s="22">
        <f>COUNTA(E11,H11,K11,N11,Q11)</f>
        <v>1</v>
      </c>
      <c r="C11" s="23" t="s">
        <v>21</v>
      </c>
      <c r="D11" s="151" t="s">
        <v>22</v>
      </c>
      <c r="E11" s="28"/>
      <c r="F11" s="29" t="str">
        <f>IF(E11="x",S11,"")</f>
        <v/>
      </c>
      <c r="G11" s="15" t="s">
        <v>22</v>
      </c>
      <c r="H11" s="28"/>
      <c r="I11" s="29" t="str">
        <f>IF(H11="x",S11,"")</f>
        <v/>
      </c>
      <c r="J11" s="15" t="s">
        <v>23</v>
      </c>
      <c r="K11" s="28"/>
      <c r="L11" s="29" t="str">
        <f>IF(K11="x",T11,"")</f>
        <v/>
      </c>
      <c r="M11" s="15" t="s">
        <v>24</v>
      </c>
      <c r="N11" s="28"/>
      <c r="O11" s="29" t="str">
        <f>IF(N11="x",U11,"")</f>
        <v/>
      </c>
      <c r="P11" s="15" t="s">
        <v>25</v>
      </c>
      <c r="Q11" s="28" t="s">
        <v>7</v>
      </c>
      <c r="R11" s="150">
        <f>IF(Q11="x",V11,"")</f>
        <v>8</v>
      </c>
      <c r="S11" s="26">
        <v>2</v>
      </c>
      <c r="T11" s="26">
        <v>4</v>
      </c>
      <c r="U11" s="26">
        <v>6</v>
      </c>
      <c r="V11" s="26">
        <v>8</v>
      </c>
      <c r="X11" s="105">
        <v>7</v>
      </c>
      <c r="Y11" s="105">
        <v>8</v>
      </c>
      <c r="Z11" s="105" t="s">
        <v>6</v>
      </c>
    </row>
    <row r="12" spans="2:26" s="27" customFormat="1" ht="82.5" customHeight="1">
      <c r="B12" s="22">
        <f>COUNTA(E12,H12,K12,N12,Q12)</f>
        <v>1</v>
      </c>
      <c r="C12" s="23" t="s">
        <v>26</v>
      </c>
      <c r="D12" s="149" t="s">
        <v>27</v>
      </c>
      <c r="E12" s="30"/>
      <c r="F12" s="106" t="str">
        <f>IF(E12="x",S12,"")</f>
        <v/>
      </c>
      <c r="G12" s="16" t="s">
        <v>27</v>
      </c>
      <c r="H12" s="30"/>
      <c r="I12" s="106" t="str">
        <f>IF(H12="x",S12,"")</f>
        <v/>
      </c>
      <c r="J12" s="16" t="s">
        <v>28</v>
      </c>
      <c r="K12" s="30"/>
      <c r="L12" s="106" t="str">
        <f>IF(K12="x",T12,"")</f>
        <v/>
      </c>
      <c r="M12" s="16" t="s">
        <v>29</v>
      </c>
      <c r="N12" s="30" t="s">
        <v>7</v>
      </c>
      <c r="O12" s="106">
        <f>IF(N12="x",U12,"")</f>
        <v>3</v>
      </c>
      <c r="P12" s="16" t="s">
        <v>30</v>
      </c>
      <c r="Q12" s="30"/>
      <c r="R12" s="147" t="str">
        <f>IF(Q12="x",V12,"")</f>
        <v/>
      </c>
      <c r="S12" s="26">
        <v>1</v>
      </c>
      <c r="T12" s="26">
        <v>2</v>
      </c>
      <c r="U12" s="26">
        <v>3</v>
      </c>
      <c r="V12" s="26">
        <v>4</v>
      </c>
      <c r="X12" s="105">
        <v>9</v>
      </c>
      <c r="Y12" s="105">
        <v>15</v>
      </c>
      <c r="Z12" s="105" t="s">
        <v>8</v>
      </c>
    </row>
    <row r="13" spans="2:26" s="27" customFormat="1" ht="60">
      <c r="B13" s="22">
        <f>COUNTA(E13,H13,K13,N13,Q13)</f>
        <v>1</v>
      </c>
      <c r="C13" s="23" t="s">
        <v>31</v>
      </c>
      <c r="D13" s="148" t="s">
        <v>32</v>
      </c>
      <c r="E13" s="30"/>
      <c r="F13" s="106" t="str">
        <f>IF(E13="x",S13,"")</f>
        <v/>
      </c>
      <c r="G13" s="12" t="s">
        <v>32</v>
      </c>
      <c r="H13" s="30" t="s">
        <v>7</v>
      </c>
      <c r="I13" s="106">
        <f>IF(H13="x",S13,"")</f>
        <v>1</v>
      </c>
      <c r="J13" s="12" t="s">
        <v>33</v>
      </c>
      <c r="K13" s="30"/>
      <c r="L13" s="106" t="str">
        <f>IF(K13="x",T13,"")</f>
        <v/>
      </c>
      <c r="M13" s="12" t="s">
        <v>34</v>
      </c>
      <c r="N13" s="30"/>
      <c r="O13" s="106" t="str">
        <f>IF(N13="x",U13,"")</f>
        <v/>
      </c>
      <c r="P13" s="12" t="s">
        <v>35</v>
      </c>
      <c r="Q13" s="30"/>
      <c r="R13" s="147" t="str">
        <f>IF(Q13="x",V13,"")</f>
        <v/>
      </c>
      <c r="S13" s="26">
        <v>1</v>
      </c>
      <c r="T13" s="26">
        <v>2</v>
      </c>
      <c r="U13" s="26">
        <v>3</v>
      </c>
      <c r="V13" s="26">
        <v>4</v>
      </c>
      <c r="X13" s="105">
        <v>16</v>
      </c>
      <c r="Y13" s="105">
        <v>22</v>
      </c>
      <c r="Z13" s="105" t="s">
        <v>9</v>
      </c>
    </row>
    <row r="14" spans="2:26" s="35" customFormat="1" ht="117" customHeight="1" thickBot="1">
      <c r="B14" s="22">
        <f>COUNTA(E14,H14,K14,N14,Q14)</f>
        <v>1</v>
      </c>
      <c r="C14" s="31" t="s">
        <v>36</v>
      </c>
      <c r="D14" s="146" t="s">
        <v>37</v>
      </c>
      <c r="E14" s="32"/>
      <c r="F14" s="33" t="str">
        <f>IF(E14="x",S14,"")</f>
        <v/>
      </c>
      <c r="G14" s="17" t="s">
        <v>37</v>
      </c>
      <c r="H14" s="32" t="s">
        <v>7</v>
      </c>
      <c r="I14" s="33">
        <f>IF(H14="x",S14,"")</f>
        <v>1</v>
      </c>
      <c r="J14" s="17" t="s">
        <v>38</v>
      </c>
      <c r="K14" s="32"/>
      <c r="L14" s="33" t="str">
        <f>IF(K14="x",T14,"")</f>
        <v/>
      </c>
      <c r="M14" s="17" t="s">
        <v>39</v>
      </c>
      <c r="N14" s="32"/>
      <c r="O14" s="33" t="str">
        <f>IF(N14="x",U14,"")</f>
        <v/>
      </c>
      <c r="P14" s="17" t="s">
        <v>40</v>
      </c>
      <c r="Q14" s="32"/>
      <c r="R14" s="145" t="str">
        <f>IF(Q14="x",V14,"")</f>
        <v/>
      </c>
      <c r="S14" s="34">
        <v>1</v>
      </c>
      <c r="T14" s="34">
        <v>2</v>
      </c>
      <c r="U14" s="34">
        <v>3</v>
      </c>
      <c r="V14" s="34">
        <v>4</v>
      </c>
      <c r="X14" s="105">
        <v>23</v>
      </c>
      <c r="Y14" s="105">
        <v>28</v>
      </c>
      <c r="Z14" s="105" t="s">
        <v>10</v>
      </c>
    </row>
    <row r="15" spans="2:26" ht="16.5" customHeight="1">
      <c r="B15" s="6">
        <f>IF(OR(AND(E13="X",K13="X",N13="X"),AND(E13="X",K13="X"),AND(E13="X",N13="X"),AND(N13="X",K13="X")),2,IF(OR(E13="X",K13="X",N13="X"),1,0))</f>
        <v>0</v>
      </c>
      <c r="C15" s="104"/>
      <c r="D15" s="3"/>
      <c r="F15" s="3"/>
      <c r="I15" s="3"/>
      <c r="M15" s="3"/>
      <c r="N15" s="3"/>
      <c r="O15" s="3"/>
      <c r="P15" s="8"/>
      <c r="Q15" s="8"/>
      <c r="R15" s="8"/>
      <c r="S15" s="8"/>
    </row>
    <row r="16" spans="2:26" s="140" customFormat="1" ht="12.75" hidden="1" customHeight="1">
      <c r="B16" s="6">
        <f>IF(OR(AND(E11="X",K11="X",N11="X"),AND(E11="X",K11="X"),AND(E11="X",N11="X"),AND(N11="X",K11="X")),2,IF(OR(E11="X",K11="X",N11="X"),1,0))</f>
        <v>0</v>
      </c>
      <c r="C16" s="144"/>
      <c r="D16" s="143"/>
      <c r="E16" s="140">
        <f>COUNTIF(E10:E14,"X")</f>
        <v>0</v>
      </c>
      <c r="F16" s="141">
        <f>SUM(F10:F14)</f>
        <v>0</v>
      </c>
      <c r="H16" s="140">
        <f>COUNTIF(H10:H14,"X")</f>
        <v>2</v>
      </c>
      <c r="I16" s="141">
        <f>SUM(I10:I14)</f>
        <v>2</v>
      </c>
      <c r="J16" s="142"/>
      <c r="K16" s="140">
        <f>COUNTIF(K10:K14,"X")</f>
        <v>0</v>
      </c>
      <c r="L16" s="141">
        <f>SUM(L10:L14)</f>
        <v>0</v>
      </c>
      <c r="N16" s="140">
        <f>COUNTIF(N10:N14,"X")</f>
        <v>1</v>
      </c>
      <c r="O16" s="141">
        <f>SUM(O10:O14)</f>
        <v>3</v>
      </c>
      <c r="Q16" s="140">
        <f>COUNTIF(Q10:Q14,"X")</f>
        <v>2</v>
      </c>
      <c r="R16" s="141">
        <f>SUM(R10:R14)</f>
        <v>16</v>
      </c>
    </row>
    <row r="17" spans="2:22">
      <c r="B17" s="6">
        <f>IF(OR(AND(E14="X",K14="X",N14="X"),AND(E14="X",K14="X"),AND(E14="X",N14="X"),AND(N14="X",K14="X")),2,IF(OR(E14="X",K14="X",N14="X"),1,0))</f>
        <v>0</v>
      </c>
      <c r="J17" s="11"/>
      <c r="M17" s="3"/>
      <c r="N17" s="3"/>
      <c r="O17" s="3"/>
      <c r="P17" s="3"/>
    </row>
    <row r="18" spans="2:22" ht="15" customHeight="1">
      <c r="B18" s="6">
        <f>IF(OR(B10&gt;1,B11&gt;1,B12&gt;1,B13&gt;1,B14&gt;1),2,1)</f>
        <v>1</v>
      </c>
      <c r="D18" s="19" t="s">
        <v>41</v>
      </c>
      <c r="G18" s="21">
        <f>SUM(F16,I16,L16,O16,R16)</f>
        <v>21</v>
      </c>
      <c r="K18" s="6">
        <f>COUNTIF(K10:K16,"X")</f>
        <v>0</v>
      </c>
      <c r="L18" s="6"/>
      <c r="M18" s="7"/>
      <c r="N18" s="7"/>
      <c r="O18" s="7"/>
      <c r="P18" s="3"/>
    </row>
    <row r="19" spans="2:22" ht="23.25">
      <c r="D19" s="19" t="s">
        <v>42</v>
      </c>
      <c r="G19" s="20" t="str">
        <f>IF(COUNTA(E10:E14)=2,"XS",IF(B18=2,"Duplicated 'X'",IF(AND(B18=2,G18&gt;5),"duplicated X",IF(AND(B18=1,G18&lt;5),"MissingData",IF(G18=0,"No data",IF(AND(G18&gt;=X11,G18&lt;=Y11),Z11,IF(AND(G18&gt;=X12,G18&lt;=Y12),Z12,IF(AND(G18&gt;=X13,G18&lt;=Y13),Z13,IF(AND(G18&gt;=X14,G18&lt;=Y14),Z14)))))))))</f>
        <v>L</v>
      </c>
    </row>
    <row r="20" spans="2:22">
      <c r="D20" s="3"/>
      <c r="F20" s="3"/>
      <c r="I20" s="3"/>
    </row>
    <row r="21" spans="2:22">
      <c r="D21" s="3"/>
      <c r="F21" s="3"/>
      <c r="I21" s="3"/>
    </row>
    <row r="22" spans="2:22" ht="18">
      <c r="D22" s="37" t="s">
        <v>118</v>
      </c>
    </row>
    <row r="23" spans="2:22">
      <c r="D23" s="38" t="s">
        <v>117</v>
      </c>
    </row>
    <row r="24" spans="2:22" ht="15.75" thickBot="1">
      <c r="D24" s="38" t="s">
        <v>116</v>
      </c>
    </row>
    <row r="25" spans="2:22" s="107" customFormat="1" ht="16.5" thickBot="1">
      <c r="B25" s="246" t="s">
        <v>115</v>
      </c>
      <c r="C25" s="247"/>
      <c r="D25" s="190" t="s">
        <v>114</v>
      </c>
      <c r="E25" s="191"/>
      <c r="F25" s="139"/>
      <c r="G25" s="231" t="s">
        <v>6</v>
      </c>
      <c r="H25" s="232"/>
      <c r="I25" s="138"/>
      <c r="J25" s="229" t="s">
        <v>8</v>
      </c>
      <c r="K25" s="230"/>
      <c r="L25" s="138"/>
      <c r="M25" s="227" t="s">
        <v>9</v>
      </c>
      <c r="N25" s="228"/>
      <c r="O25" s="138"/>
      <c r="P25" s="225" t="s">
        <v>10</v>
      </c>
      <c r="Q25" s="226"/>
      <c r="R25" s="109"/>
      <c r="S25" s="108"/>
      <c r="T25" s="108"/>
      <c r="U25" s="108"/>
      <c r="V25" s="108"/>
    </row>
    <row r="26" spans="2:22">
      <c r="B26" s="220" t="s">
        <v>113</v>
      </c>
      <c r="C26" s="221"/>
      <c r="D26" s="202">
        <v>3</v>
      </c>
      <c r="E26" s="203"/>
      <c r="F26" s="137"/>
      <c r="G26" s="244" t="s">
        <v>112</v>
      </c>
      <c r="H26" s="245"/>
      <c r="I26" s="134"/>
      <c r="J26" s="210">
        <v>15</v>
      </c>
      <c r="K26" s="210"/>
      <c r="L26" s="134"/>
      <c r="M26" s="210">
        <v>20</v>
      </c>
      <c r="N26" s="210"/>
      <c r="O26" s="134"/>
      <c r="P26" s="210">
        <v>25</v>
      </c>
      <c r="Q26" s="211"/>
      <c r="R26" s="1"/>
      <c r="S26" s="2"/>
    </row>
    <row r="27" spans="2:22">
      <c r="B27" s="218" t="s">
        <v>111</v>
      </c>
      <c r="C27" s="219"/>
      <c r="D27" s="200">
        <v>5</v>
      </c>
      <c r="E27" s="201"/>
      <c r="F27" s="136"/>
      <c r="G27" s="242" t="s">
        <v>110</v>
      </c>
      <c r="H27" s="243"/>
      <c r="I27" s="134"/>
      <c r="J27" s="208">
        <v>25</v>
      </c>
      <c r="K27" s="208"/>
      <c r="L27" s="134"/>
      <c r="M27" s="208">
        <v>30</v>
      </c>
      <c r="N27" s="208"/>
      <c r="O27" s="134"/>
      <c r="P27" s="208">
        <v>40</v>
      </c>
      <c r="Q27" s="209"/>
      <c r="R27" s="1"/>
      <c r="S27" s="2"/>
    </row>
    <row r="28" spans="2:22">
      <c r="B28" s="216" t="s">
        <v>109</v>
      </c>
      <c r="C28" s="217"/>
      <c r="D28" s="198">
        <v>1</v>
      </c>
      <c r="E28" s="199"/>
      <c r="F28" s="135"/>
      <c r="G28" s="242" t="s">
        <v>108</v>
      </c>
      <c r="H28" s="243"/>
      <c r="I28" s="134"/>
      <c r="J28" s="208">
        <v>5</v>
      </c>
      <c r="K28" s="208"/>
      <c r="L28" s="134"/>
      <c r="M28" s="208">
        <v>5</v>
      </c>
      <c r="N28" s="208"/>
      <c r="O28" s="134"/>
      <c r="P28" s="208">
        <v>10</v>
      </c>
      <c r="Q28" s="209"/>
      <c r="R28" s="1"/>
      <c r="S28" s="2"/>
    </row>
    <row r="29" spans="2:22" ht="15.75" thickBot="1">
      <c r="B29" s="214" t="s">
        <v>107</v>
      </c>
      <c r="C29" s="215"/>
      <c r="D29" s="196">
        <v>1</v>
      </c>
      <c r="E29" s="197"/>
      <c r="F29" s="133"/>
      <c r="G29" s="240" t="s">
        <v>106</v>
      </c>
      <c r="H29" s="241"/>
      <c r="I29" s="132"/>
      <c r="J29" s="205">
        <v>5</v>
      </c>
      <c r="K29" s="205"/>
      <c r="L29" s="132"/>
      <c r="M29" s="205">
        <v>5</v>
      </c>
      <c r="N29" s="205"/>
      <c r="O29" s="132"/>
      <c r="P29" s="205">
        <v>5</v>
      </c>
      <c r="Q29" s="207"/>
      <c r="R29" s="1"/>
      <c r="S29" s="2"/>
    </row>
    <row r="30" spans="2:22" ht="16.5" thickTop="1" thickBot="1">
      <c r="B30" s="212" t="s">
        <v>105</v>
      </c>
      <c r="C30" s="213"/>
      <c r="D30" s="194">
        <v>10</v>
      </c>
      <c r="E30" s="195"/>
      <c r="F30" s="2"/>
      <c r="G30" s="238" t="s">
        <v>104</v>
      </c>
      <c r="H30" s="239"/>
      <c r="I30" s="131"/>
      <c r="J30" s="204">
        <v>50</v>
      </c>
      <c r="K30" s="204"/>
      <c r="L30" s="131"/>
      <c r="M30" s="204">
        <v>60</v>
      </c>
      <c r="N30" s="204"/>
      <c r="O30" s="131"/>
      <c r="P30" s="204">
        <v>80</v>
      </c>
      <c r="Q30" s="206"/>
      <c r="R30" s="1"/>
      <c r="S30" s="2"/>
    </row>
    <row r="31" spans="2:22" s="125" customFormat="1" ht="30" customHeight="1" thickBot="1">
      <c r="B31" s="223" t="s">
        <v>103</v>
      </c>
      <c r="C31" s="224"/>
      <c r="D31" s="192">
        <v>1</v>
      </c>
      <c r="E31" s="193"/>
      <c r="F31" s="130"/>
      <c r="G31" s="236" t="s">
        <v>102</v>
      </c>
      <c r="H31" s="237"/>
      <c r="I31" s="129"/>
      <c r="J31" s="235">
        <v>5</v>
      </c>
      <c r="K31" s="235"/>
      <c r="L31" s="129"/>
      <c r="M31" s="235">
        <v>6</v>
      </c>
      <c r="N31" s="235"/>
      <c r="O31" s="128"/>
      <c r="P31" s="233">
        <v>8</v>
      </c>
      <c r="Q31" s="234"/>
      <c r="R31" s="127"/>
      <c r="S31" s="126"/>
    </row>
    <row r="32" spans="2:22">
      <c r="D32" s="124"/>
    </row>
    <row r="33" spans="2:16">
      <c r="D33" s="9" t="s">
        <v>101</v>
      </c>
    </row>
    <row r="35" spans="2:16" ht="15.75">
      <c r="B35" s="107" t="s">
        <v>100</v>
      </c>
      <c r="C35" s="3" t="s">
        <v>99</v>
      </c>
    </row>
    <row r="36" spans="2:16" s="110" customFormat="1">
      <c r="B36" s="114" t="s">
        <v>82</v>
      </c>
      <c r="C36" s="114">
        <v>2</v>
      </c>
      <c r="D36" s="113"/>
      <c r="F36" s="112"/>
      <c r="I36" s="112"/>
      <c r="M36" s="112"/>
      <c r="N36" s="112"/>
      <c r="O36" s="112"/>
      <c r="P36" s="111"/>
    </row>
    <row r="37" spans="2:16">
      <c r="B37" s="107"/>
    </row>
    <row r="38" spans="2:16">
      <c r="B38" s="116" t="s">
        <v>43</v>
      </c>
      <c r="D38" s="124"/>
    </row>
    <row r="39" spans="2:16">
      <c r="B39" s="3" t="s">
        <v>98</v>
      </c>
    </row>
    <row r="41" spans="2:16" s="110" customFormat="1">
      <c r="B41" s="114" t="s">
        <v>82</v>
      </c>
      <c r="C41" s="114">
        <v>52</v>
      </c>
      <c r="D41" s="123"/>
      <c r="F41" s="112"/>
      <c r="I41" s="112"/>
      <c r="M41" s="112"/>
      <c r="N41" s="112"/>
      <c r="O41" s="112"/>
      <c r="P41" s="111"/>
    </row>
    <row r="42" spans="2:16">
      <c r="B42" s="122"/>
      <c r="C42" s="122"/>
      <c r="D42" s="121"/>
    </row>
    <row r="43" spans="2:16">
      <c r="B43" s="116" t="s">
        <v>44</v>
      </c>
    </row>
    <row r="44" spans="2:16">
      <c r="B44" s="119" t="s">
        <v>97</v>
      </c>
    </row>
    <row r="45" spans="2:16">
      <c r="B45" s="120" t="s">
        <v>96</v>
      </c>
    </row>
    <row r="46" spans="2:16">
      <c r="B46" s="119" t="s">
        <v>95</v>
      </c>
    </row>
    <row r="47" spans="2:16">
      <c r="B47" s="119" t="s">
        <v>94</v>
      </c>
    </row>
    <row r="48" spans="2:16">
      <c r="B48" s="119" t="s">
        <v>93</v>
      </c>
    </row>
    <row r="49" spans="2:16">
      <c r="B49" s="119" t="s">
        <v>92</v>
      </c>
    </row>
    <row r="51" spans="2:16" s="110" customFormat="1">
      <c r="B51" s="114" t="s">
        <v>82</v>
      </c>
      <c r="C51" s="118" t="s">
        <v>91</v>
      </c>
      <c r="D51" s="113"/>
      <c r="F51" s="112"/>
      <c r="I51" s="112"/>
      <c r="M51" s="112"/>
      <c r="N51" s="112"/>
      <c r="O51" s="112"/>
      <c r="P51" s="111"/>
    </row>
    <row r="52" spans="2:16">
      <c r="B52" s="116"/>
    </row>
    <row r="53" spans="2:16">
      <c r="B53" s="107" t="s">
        <v>90</v>
      </c>
    </row>
    <row r="54" spans="2:16">
      <c r="B54" s="107" t="s">
        <v>89</v>
      </c>
    </row>
    <row r="55" spans="2:16">
      <c r="B55" s="107" t="s">
        <v>88</v>
      </c>
    </row>
    <row r="56" spans="2:16">
      <c r="B56" s="107" t="s">
        <v>87</v>
      </c>
    </row>
    <row r="57" spans="2:16">
      <c r="B57" s="107" t="s">
        <v>86</v>
      </c>
    </row>
    <row r="58" spans="2:16">
      <c r="B58" s="107" t="s">
        <v>85</v>
      </c>
    </row>
    <row r="59" spans="2:16">
      <c r="B59" s="107"/>
    </row>
    <row r="60" spans="2:16" s="110" customFormat="1">
      <c r="B60" s="114" t="s">
        <v>82</v>
      </c>
      <c r="C60" s="117" t="s">
        <v>84</v>
      </c>
      <c r="D60" s="113"/>
      <c r="F60" s="112"/>
      <c r="I60" s="112"/>
      <c r="M60" s="112"/>
      <c r="N60" s="112"/>
      <c r="O60" s="112"/>
      <c r="P60" s="111"/>
    </row>
    <row r="62" spans="2:16">
      <c r="B62" s="116" t="s">
        <v>83</v>
      </c>
    </row>
    <row r="63" spans="2:16">
      <c r="B63" s="115"/>
    </row>
    <row r="64" spans="2:16" s="110" customFormat="1">
      <c r="B64" s="114" t="s">
        <v>82</v>
      </c>
      <c r="C64" s="114">
        <v>0</v>
      </c>
      <c r="D64" s="113"/>
      <c r="F64" s="112"/>
      <c r="I64" s="112"/>
      <c r="M64" s="112"/>
      <c r="N64" s="112"/>
      <c r="O64" s="112"/>
      <c r="P64" s="111"/>
    </row>
  </sheetData>
  <mergeCells count="44">
    <mergeCell ref="B31:C31"/>
    <mergeCell ref="P25:Q25"/>
    <mergeCell ref="M25:N25"/>
    <mergeCell ref="J25:K25"/>
    <mergeCell ref="G25:H25"/>
    <mergeCell ref="P31:Q31"/>
    <mergeCell ref="M31:N31"/>
    <mergeCell ref="J31:K31"/>
    <mergeCell ref="G31:H31"/>
    <mergeCell ref="J30:K30"/>
    <mergeCell ref="G30:H30"/>
    <mergeCell ref="G29:H29"/>
    <mergeCell ref="G28:H28"/>
    <mergeCell ref="G27:H27"/>
    <mergeCell ref="G26:H26"/>
    <mergeCell ref="B25:C25"/>
    <mergeCell ref="X10:Z10"/>
    <mergeCell ref="J29:K29"/>
    <mergeCell ref="J28:K28"/>
    <mergeCell ref="J27:K27"/>
    <mergeCell ref="J26:K26"/>
    <mergeCell ref="M28:N28"/>
    <mergeCell ref="M27:N27"/>
    <mergeCell ref="M26:N26"/>
    <mergeCell ref="B30:C30"/>
    <mergeCell ref="B29:C29"/>
    <mergeCell ref="B28:C28"/>
    <mergeCell ref="B27:C27"/>
    <mergeCell ref="B26:C26"/>
    <mergeCell ref="D8:R8"/>
    <mergeCell ref="D25:E25"/>
    <mergeCell ref="D31:E31"/>
    <mergeCell ref="D30:E30"/>
    <mergeCell ref="D29:E29"/>
    <mergeCell ref="D28:E28"/>
    <mergeCell ref="D27:E27"/>
    <mergeCell ref="D26:E26"/>
    <mergeCell ref="M30:N30"/>
    <mergeCell ref="M29:N29"/>
    <mergeCell ref="P30:Q30"/>
    <mergeCell ref="P29:Q29"/>
    <mergeCell ref="P28:Q28"/>
    <mergeCell ref="P26:Q26"/>
    <mergeCell ref="P27:Q27"/>
  </mergeCells>
  <dataValidations count="1">
    <dataValidation type="list" allowBlank="1" showInputMessage="1" showErrorMessage="1" sqref="E10:E14 K10:K14 Q10:Q14 N10:N14 H10:H14" xr:uid="{00000000-0002-0000-0000-000000000000}">
      <formula1>"X"</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0"/>
  <sheetViews>
    <sheetView workbookViewId="0">
      <selection activeCell="D8" sqref="D8"/>
    </sheetView>
  </sheetViews>
  <sheetFormatPr defaultRowHeight="15"/>
  <cols>
    <col min="1" max="1" width="63.85546875" style="162" bestFit="1" customWidth="1"/>
    <col min="2" max="2" width="55.5703125" bestFit="1" customWidth="1"/>
    <col min="3" max="3" width="11.5703125" bestFit="1" customWidth="1"/>
    <col min="4" max="4" width="62.85546875" bestFit="1" customWidth="1"/>
    <col min="5" max="5" width="3.85546875" customWidth="1"/>
    <col min="6" max="6" width="51.85546875" bestFit="1" customWidth="1"/>
    <col min="7" max="7" width="48.28515625" bestFit="1" customWidth="1"/>
    <col min="8" max="8" width="11.5703125" bestFit="1" customWidth="1"/>
    <col min="9" max="9" width="58.28515625" bestFit="1" customWidth="1"/>
    <col min="10" max="10" width="4" customWidth="1"/>
    <col min="12" max="12" width="52.85546875" bestFit="1" customWidth="1"/>
    <col min="13" max="13" width="11.5703125" bestFit="1" customWidth="1"/>
    <col min="14" max="14" width="33" bestFit="1" customWidth="1"/>
  </cols>
  <sheetData>
    <row r="1" spans="1:4">
      <c r="A1" s="248" t="s">
        <v>176</v>
      </c>
      <c r="B1" s="248"/>
      <c r="C1" s="248"/>
      <c r="D1" s="248"/>
    </row>
    <row r="2" spans="1:4">
      <c r="A2" s="165"/>
      <c r="B2" s="163" t="s">
        <v>175</v>
      </c>
      <c r="C2" s="163" t="s">
        <v>174</v>
      </c>
      <c r="D2" s="163" t="s">
        <v>173</v>
      </c>
    </row>
    <row r="3" spans="1:4">
      <c r="B3" t="s">
        <v>172</v>
      </c>
      <c r="C3">
        <v>1</v>
      </c>
    </row>
    <row r="4" spans="1:4">
      <c r="B4" t="s">
        <v>171</v>
      </c>
      <c r="C4" s="164">
        <v>2</v>
      </c>
    </row>
    <row r="5" spans="1:4">
      <c r="B5" t="s">
        <v>170</v>
      </c>
      <c r="C5">
        <v>0.5</v>
      </c>
    </row>
    <row r="6" spans="1:4">
      <c r="B6" t="s">
        <v>169</v>
      </c>
      <c r="C6">
        <v>0.5</v>
      </c>
    </row>
    <row r="7" spans="1:4">
      <c r="B7" t="s">
        <v>168</v>
      </c>
      <c r="C7">
        <v>0.5</v>
      </c>
    </row>
    <row r="8" spans="1:4">
      <c r="B8" t="s">
        <v>167</v>
      </c>
      <c r="C8">
        <v>0.5</v>
      </c>
    </row>
    <row r="9" spans="1:4">
      <c r="B9" t="s">
        <v>166</v>
      </c>
      <c r="C9">
        <v>0.5</v>
      </c>
    </row>
    <row r="10" spans="1:4">
      <c r="B10" t="s">
        <v>165</v>
      </c>
      <c r="C10">
        <v>0.5</v>
      </c>
    </row>
    <row r="12" spans="1:4">
      <c r="A12" s="162" t="s">
        <v>164</v>
      </c>
      <c r="B12" t="s">
        <v>129</v>
      </c>
      <c r="C12">
        <v>0.5</v>
      </c>
      <c r="D12" t="s">
        <v>159</v>
      </c>
    </row>
    <row r="13" spans="1:4">
      <c r="B13" t="s">
        <v>163</v>
      </c>
      <c r="C13">
        <v>0</v>
      </c>
      <c r="D13" t="s">
        <v>158</v>
      </c>
    </row>
    <row r="14" spans="1:4">
      <c r="B14" t="s">
        <v>162</v>
      </c>
      <c r="C14">
        <v>1</v>
      </c>
    </row>
    <row r="15" spans="1:4">
      <c r="B15" t="s">
        <v>145</v>
      </c>
      <c r="C15">
        <v>0</v>
      </c>
      <c r="D15" t="s">
        <v>158</v>
      </c>
    </row>
    <row r="16" spans="1:4">
      <c r="B16" t="s">
        <v>144</v>
      </c>
      <c r="C16">
        <v>0.5</v>
      </c>
      <c r="D16" t="s">
        <v>159</v>
      </c>
    </row>
    <row r="17" spans="1:4">
      <c r="B17" t="s">
        <v>131</v>
      </c>
      <c r="C17">
        <v>0</v>
      </c>
      <c r="D17" t="s">
        <v>158</v>
      </c>
    </row>
    <row r="18" spans="1:4">
      <c r="B18" t="s">
        <v>130</v>
      </c>
      <c r="C18">
        <v>1</v>
      </c>
    </row>
    <row r="20" spans="1:4">
      <c r="A20" s="162" t="s">
        <v>96</v>
      </c>
      <c r="B20" t="s">
        <v>157</v>
      </c>
      <c r="C20">
        <v>0.5</v>
      </c>
      <c r="D20" t="s">
        <v>124</v>
      </c>
    </row>
    <row r="21" spans="1:4">
      <c r="B21" t="s">
        <v>155</v>
      </c>
      <c r="C21">
        <v>0.5</v>
      </c>
      <c r="D21" t="s">
        <v>124</v>
      </c>
    </row>
    <row r="22" spans="1:4">
      <c r="B22" t="s">
        <v>129</v>
      </c>
      <c r="C22">
        <v>0.5</v>
      </c>
      <c r="D22" t="s">
        <v>124</v>
      </c>
    </row>
    <row r="23" spans="1:4">
      <c r="B23" t="s">
        <v>128</v>
      </c>
      <c r="C23">
        <v>0</v>
      </c>
      <c r="D23" t="s">
        <v>158</v>
      </c>
    </row>
    <row r="24" spans="1:4">
      <c r="B24" t="s">
        <v>161</v>
      </c>
      <c r="C24" s="164">
        <v>2</v>
      </c>
      <c r="D24" s="119" t="s">
        <v>160</v>
      </c>
    </row>
    <row r="25" spans="1:4">
      <c r="B25" t="s">
        <v>141</v>
      </c>
      <c r="C25">
        <v>1</v>
      </c>
      <c r="D25" t="s">
        <v>140</v>
      </c>
    </row>
    <row r="26" spans="1:4">
      <c r="B26" t="s">
        <v>137</v>
      </c>
      <c r="C26">
        <v>0</v>
      </c>
      <c r="D26" t="s">
        <v>127</v>
      </c>
    </row>
    <row r="27" spans="1:4">
      <c r="B27" t="s">
        <v>136</v>
      </c>
      <c r="C27">
        <v>0.5</v>
      </c>
      <c r="D27" t="s">
        <v>159</v>
      </c>
    </row>
    <row r="28" spans="1:4">
      <c r="B28" t="s">
        <v>131</v>
      </c>
      <c r="C28">
        <v>0</v>
      </c>
      <c r="D28" t="s">
        <v>158</v>
      </c>
    </row>
    <row r="29" spans="1:4">
      <c r="B29" t="s">
        <v>130</v>
      </c>
      <c r="C29">
        <v>0</v>
      </c>
      <c r="D29" t="s">
        <v>127</v>
      </c>
    </row>
    <row r="31" spans="1:4">
      <c r="A31" s="162" t="s">
        <v>95</v>
      </c>
      <c r="B31" t="s">
        <v>157</v>
      </c>
      <c r="C31">
        <v>0</v>
      </c>
      <c r="D31" t="s">
        <v>127</v>
      </c>
    </row>
    <row r="32" spans="1:4">
      <c r="B32" t="s">
        <v>156</v>
      </c>
      <c r="C32">
        <v>1</v>
      </c>
    </row>
    <row r="33" spans="2:4">
      <c r="B33" t="s">
        <v>155</v>
      </c>
      <c r="C33">
        <v>0</v>
      </c>
      <c r="D33" t="s">
        <v>127</v>
      </c>
    </row>
    <row r="34" spans="2:4">
      <c r="B34" t="s">
        <v>129</v>
      </c>
      <c r="C34">
        <v>0.5</v>
      </c>
      <c r="D34" t="s">
        <v>124</v>
      </c>
    </row>
    <row r="35" spans="2:4">
      <c r="B35" t="s">
        <v>128</v>
      </c>
      <c r="C35">
        <v>0</v>
      </c>
      <c r="D35" t="s">
        <v>127</v>
      </c>
    </row>
    <row r="36" spans="2:4">
      <c r="B36" t="s">
        <v>154</v>
      </c>
      <c r="C36">
        <v>1</v>
      </c>
    </row>
    <row r="37" spans="2:4">
      <c r="B37" t="s">
        <v>135</v>
      </c>
      <c r="C37" s="164">
        <v>2</v>
      </c>
      <c r="D37" t="s">
        <v>134</v>
      </c>
    </row>
    <row r="38" spans="2:4">
      <c r="B38" t="s">
        <v>153</v>
      </c>
      <c r="C38">
        <v>1</v>
      </c>
    </row>
    <row r="39" spans="2:4">
      <c r="B39" t="s">
        <v>129</v>
      </c>
      <c r="C39">
        <v>0</v>
      </c>
      <c r="D39" t="s">
        <v>127</v>
      </c>
    </row>
    <row r="40" spans="2:4">
      <c r="B40" t="s">
        <v>128</v>
      </c>
      <c r="C40">
        <v>0</v>
      </c>
      <c r="D40" t="s">
        <v>127</v>
      </c>
    </row>
    <row r="41" spans="2:4">
      <c r="B41" t="s">
        <v>152</v>
      </c>
      <c r="C41">
        <v>1</v>
      </c>
    </row>
    <row r="42" spans="2:4">
      <c r="B42" t="s">
        <v>126</v>
      </c>
      <c r="C42">
        <v>1</v>
      </c>
    </row>
    <row r="43" spans="2:4">
      <c r="B43" t="s">
        <v>151</v>
      </c>
      <c r="C43">
        <v>1</v>
      </c>
    </row>
    <row r="44" spans="2:4">
      <c r="B44" t="s">
        <v>125</v>
      </c>
      <c r="C44">
        <v>1</v>
      </c>
    </row>
    <row r="45" spans="2:4">
      <c r="B45" t="s">
        <v>148</v>
      </c>
      <c r="C45">
        <v>1</v>
      </c>
    </row>
    <row r="46" spans="2:4">
      <c r="B46" t="s">
        <v>150</v>
      </c>
      <c r="C46">
        <v>0.5</v>
      </c>
      <c r="D46" t="s">
        <v>124</v>
      </c>
    </row>
    <row r="47" spans="2:4">
      <c r="B47" t="s">
        <v>131</v>
      </c>
      <c r="C47">
        <v>0</v>
      </c>
      <c r="D47" t="s">
        <v>127</v>
      </c>
    </row>
    <row r="48" spans="2:4">
      <c r="B48" t="s">
        <v>130</v>
      </c>
      <c r="C48">
        <v>0</v>
      </c>
      <c r="D48" t="s">
        <v>127</v>
      </c>
    </row>
    <row r="50" spans="1:4">
      <c r="A50" s="162" t="s">
        <v>94</v>
      </c>
      <c r="B50" t="s">
        <v>129</v>
      </c>
      <c r="C50">
        <v>0.5</v>
      </c>
      <c r="D50" t="s">
        <v>124</v>
      </c>
    </row>
    <row r="51" spans="1:4">
      <c r="B51" t="s">
        <v>128</v>
      </c>
      <c r="C51">
        <v>0</v>
      </c>
      <c r="D51" t="s">
        <v>127</v>
      </c>
    </row>
    <row r="52" spans="1:4">
      <c r="B52" t="s">
        <v>149</v>
      </c>
      <c r="C52">
        <v>0.5</v>
      </c>
      <c r="D52" t="s">
        <v>124</v>
      </c>
    </row>
    <row r="53" spans="1:4">
      <c r="B53" t="s">
        <v>148</v>
      </c>
      <c r="C53">
        <v>0</v>
      </c>
      <c r="D53" t="s">
        <v>127</v>
      </c>
    </row>
    <row r="54" spans="1:4">
      <c r="B54" t="s">
        <v>138</v>
      </c>
      <c r="C54">
        <v>0.5</v>
      </c>
      <c r="D54" t="s">
        <v>124</v>
      </c>
    </row>
    <row r="55" spans="1:4">
      <c r="B55" t="s">
        <v>147</v>
      </c>
      <c r="C55">
        <v>1</v>
      </c>
    </row>
    <row r="56" spans="1:4">
      <c r="B56" t="s">
        <v>146</v>
      </c>
      <c r="C56">
        <v>0.5</v>
      </c>
      <c r="D56" t="s">
        <v>124</v>
      </c>
    </row>
    <row r="57" spans="1:4">
      <c r="B57" t="s">
        <v>141</v>
      </c>
      <c r="C57">
        <v>1</v>
      </c>
      <c r="D57" t="s">
        <v>140</v>
      </c>
    </row>
    <row r="58" spans="1:4">
      <c r="B58" t="s">
        <v>145</v>
      </c>
      <c r="C58">
        <v>0</v>
      </c>
      <c r="D58" t="s">
        <v>127</v>
      </c>
    </row>
    <row r="59" spans="1:4">
      <c r="B59" t="s">
        <v>144</v>
      </c>
      <c r="C59">
        <v>0</v>
      </c>
      <c r="D59" t="s">
        <v>127</v>
      </c>
    </row>
    <row r="60" spans="1:4">
      <c r="B60" t="s">
        <v>143</v>
      </c>
      <c r="C60">
        <v>1</v>
      </c>
    </row>
    <row r="61" spans="1:4">
      <c r="B61" t="s">
        <v>137</v>
      </c>
      <c r="C61">
        <v>0</v>
      </c>
      <c r="D61" t="s">
        <v>127</v>
      </c>
    </row>
    <row r="62" spans="1:4">
      <c r="B62" t="s">
        <v>136</v>
      </c>
      <c r="C62">
        <v>0</v>
      </c>
      <c r="D62" t="s">
        <v>127</v>
      </c>
    </row>
    <row r="63" spans="1:4">
      <c r="B63" t="s">
        <v>131</v>
      </c>
      <c r="C63">
        <v>0</v>
      </c>
      <c r="D63" t="s">
        <v>127</v>
      </c>
    </row>
    <row r="64" spans="1:4">
      <c r="B64" t="s">
        <v>130</v>
      </c>
      <c r="C64">
        <v>0</v>
      </c>
      <c r="D64" t="s">
        <v>127</v>
      </c>
    </row>
    <row r="66" spans="1:4">
      <c r="A66" s="162" t="s">
        <v>93</v>
      </c>
      <c r="B66" t="s">
        <v>129</v>
      </c>
      <c r="C66">
        <v>0.5</v>
      </c>
      <c r="D66" t="s">
        <v>124</v>
      </c>
    </row>
    <row r="67" spans="1:4">
      <c r="B67" t="s">
        <v>128</v>
      </c>
      <c r="C67">
        <v>0</v>
      </c>
      <c r="D67" t="s">
        <v>127</v>
      </c>
    </row>
    <row r="68" spans="1:4">
      <c r="B68" t="s">
        <v>142</v>
      </c>
      <c r="C68">
        <v>1</v>
      </c>
    </row>
    <row r="69" spans="1:4">
      <c r="B69" t="s">
        <v>141</v>
      </c>
      <c r="C69">
        <v>1</v>
      </c>
      <c r="D69" t="s">
        <v>140</v>
      </c>
    </row>
    <row r="70" spans="1:4">
      <c r="B70" t="s">
        <v>139</v>
      </c>
      <c r="C70">
        <v>1</v>
      </c>
    </row>
    <row r="71" spans="1:4">
      <c r="B71" t="s">
        <v>138</v>
      </c>
      <c r="C71">
        <v>0.5</v>
      </c>
      <c r="D71" t="s">
        <v>124</v>
      </c>
    </row>
    <row r="72" spans="1:4">
      <c r="B72" t="s">
        <v>137</v>
      </c>
      <c r="C72">
        <v>0</v>
      </c>
      <c r="D72" t="s">
        <v>127</v>
      </c>
    </row>
    <row r="73" spans="1:4">
      <c r="B73" t="s">
        <v>136</v>
      </c>
      <c r="C73">
        <v>0</v>
      </c>
      <c r="D73" t="s">
        <v>127</v>
      </c>
    </row>
    <row r="74" spans="1:4">
      <c r="B74" t="s">
        <v>131</v>
      </c>
      <c r="C74">
        <v>0</v>
      </c>
      <c r="D74" t="s">
        <v>127</v>
      </c>
    </row>
    <row r="75" spans="1:4">
      <c r="B75" t="s">
        <v>135</v>
      </c>
      <c r="C75" s="119">
        <v>1</v>
      </c>
      <c r="D75" t="s">
        <v>134</v>
      </c>
    </row>
    <row r="76" spans="1:4">
      <c r="B76" t="s">
        <v>133</v>
      </c>
      <c r="C76">
        <v>0.5</v>
      </c>
      <c r="D76" t="s">
        <v>124</v>
      </c>
    </row>
    <row r="77" spans="1:4">
      <c r="B77" t="s">
        <v>132</v>
      </c>
      <c r="C77">
        <v>0.5</v>
      </c>
      <c r="D77" t="s">
        <v>124</v>
      </c>
    </row>
    <row r="78" spans="1:4">
      <c r="B78" t="s">
        <v>131</v>
      </c>
      <c r="C78">
        <v>0</v>
      </c>
      <c r="D78" t="s">
        <v>127</v>
      </c>
    </row>
    <row r="79" spans="1:4">
      <c r="B79" t="s">
        <v>130</v>
      </c>
      <c r="C79">
        <v>0</v>
      </c>
      <c r="D79" t="s">
        <v>127</v>
      </c>
    </row>
    <row r="80" spans="1:4">
      <c r="B80" t="s">
        <v>129</v>
      </c>
      <c r="C80">
        <v>0</v>
      </c>
      <c r="D80" t="s">
        <v>127</v>
      </c>
    </row>
    <row r="81" spans="2:4">
      <c r="B81" t="s">
        <v>128</v>
      </c>
      <c r="C81">
        <v>0</v>
      </c>
      <c r="D81" t="s">
        <v>127</v>
      </c>
    </row>
    <row r="82" spans="2:4">
      <c r="B82" t="s">
        <v>126</v>
      </c>
      <c r="C82">
        <v>0.5</v>
      </c>
      <c r="D82" t="s">
        <v>124</v>
      </c>
    </row>
    <row r="83" spans="2:4">
      <c r="B83" t="s">
        <v>125</v>
      </c>
      <c r="C83">
        <v>0.5</v>
      </c>
      <c r="D83" t="s">
        <v>124</v>
      </c>
    </row>
    <row r="84" spans="2:4">
      <c r="B84" t="s">
        <v>123</v>
      </c>
      <c r="C84">
        <v>0.5</v>
      </c>
    </row>
    <row r="86" spans="2:4">
      <c r="B86" t="s">
        <v>122</v>
      </c>
      <c r="C86">
        <v>1</v>
      </c>
    </row>
    <row r="88" spans="2:4">
      <c r="C88" s="163">
        <f>SUM(C3:C87)</f>
        <v>38.5</v>
      </c>
    </row>
    <row r="90" spans="2:4">
      <c r="B90" s="163" t="s">
        <v>121</v>
      </c>
      <c r="C90" s="163">
        <f>C88+H53+M15</f>
        <v>38.5</v>
      </c>
    </row>
  </sheetData>
  <mergeCells count="1">
    <mergeCell ref="A1:D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005"/>
  <sheetViews>
    <sheetView topLeftCell="A4" zoomScale="80" zoomScaleNormal="80" workbookViewId="0">
      <pane ySplit="13" topLeftCell="A17" activePane="bottomLeft" state="frozen"/>
      <selection activeCell="A4" sqref="A4"/>
      <selection pane="bottomLeft" activeCell="K36" sqref="K36"/>
    </sheetView>
  </sheetViews>
  <sheetFormatPr defaultColWidth="8.7109375" defaultRowHeight="15.75"/>
  <cols>
    <col min="1" max="1" width="1.7109375" style="39" customWidth="1"/>
    <col min="2" max="2" width="35.7109375" style="45" customWidth="1"/>
    <col min="3" max="6" width="21.28515625" style="42" customWidth="1"/>
    <col min="7" max="8" width="7" style="44" customWidth="1"/>
    <col min="9" max="9" width="22.5703125" style="43" customWidth="1"/>
    <col min="10" max="10" width="15.42578125" style="42" customWidth="1"/>
    <col min="11" max="11" width="12.140625" style="41" customWidth="1"/>
    <col min="12" max="12" width="18.7109375" style="39" customWidth="1"/>
    <col min="13" max="13" width="30.28515625" style="39" customWidth="1"/>
    <col min="14" max="14" width="18.7109375" style="39" customWidth="1"/>
    <col min="15" max="15" width="46.7109375" style="40" customWidth="1"/>
    <col min="16" max="16384" width="8.7109375" style="39"/>
  </cols>
  <sheetData>
    <row r="1" spans="1:11" ht="15">
      <c r="B1" s="99"/>
      <c r="C1" s="98"/>
      <c r="D1" s="98"/>
      <c r="E1" s="98"/>
      <c r="F1" s="98"/>
      <c r="G1" s="62"/>
      <c r="H1" s="62"/>
      <c r="I1" s="65"/>
      <c r="J1" s="64"/>
    </row>
    <row r="2" spans="1:11" ht="15">
      <c r="B2" s="91"/>
      <c r="C2" s="64"/>
      <c r="D2" s="64"/>
      <c r="E2" s="64"/>
      <c r="F2" s="64"/>
      <c r="G2" s="62"/>
      <c r="H2" s="62"/>
      <c r="I2" s="65"/>
      <c r="J2" s="64"/>
    </row>
    <row r="3" spans="1:11" ht="18.75">
      <c r="B3" s="68" t="s">
        <v>45</v>
      </c>
      <c r="C3" s="97" t="s">
        <v>46</v>
      </c>
      <c r="D3" s="96"/>
      <c r="E3" s="64"/>
      <c r="F3" s="64"/>
      <c r="G3" s="90"/>
      <c r="H3" s="90"/>
      <c r="I3" s="65"/>
      <c r="J3" s="64"/>
    </row>
    <row r="4" spans="1:11" ht="18.75">
      <c r="B4" s="93" t="s">
        <v>47</v>
      </c>
      <c r="C4" s="95" t="s">
        <v>177</v>
      </c>
      <c r="D4" s="94"/>
      <c r="E4" s="64"/>
      <c r="F4" s="64"/>
      <c r="G4" s="90"/>
      <c r="H4" s="90"/>
      <c r="I4" s="65"/>
      <c r="J4" s="64"/>
    </row>
    <row r="5" spans="1:11" ht="18.75">
      <c r="B5" s="93" t="s">
        <v>48</v>
      </c>
      <c r="C5" s="95" t="s">
        <v>49</v>
      </c>
      <c r="D5" s="94"/>
      <c r="E5" s="64"/>
      <c r="F5" s="64"/>
      <c r="G5" s="62"/>
      <c r="H5" s="62"/>
      <c r="I5" s="65"/>
      <c r="J5" s="64"/>
    </row>
    <row r="6" spans="1:11" ht="37.5">
      <c r="B6" s="93" t="s">
        <v>50</v>
      </c>
      <c r="C6" s="103" t="s">
        <v>51</v>
      </c>
      <c r="D6" s="92"/>
      <c r="E6" s="64"/>
      <c r="F6" s="64"/>
      <c r="G6" s="62"/>
      <c r="H6" s="64"/>
      <c r="I6" s="64"/>
    </row>
    <row r="7" spans="1:11" ht="15">
      <c r="B7" s="90"/>
      <c r="C7" s="91"/>
      <c r="D7" s="91"/>
      <c r="E7" s="64"/>
      <c r="F7" s="64"/>
      <c r="G7" s="62"/>
      <c r="H7" s="64"/>
      <c r="I7" s="64"/>
      <c r="J7" s="64"/>
    </row>
    <row r="8" spans="1:11" ht="18.75">
      <c r="B8" s="90"/>
      <c r="C8" s="89" t="s">
        <v>52</v>
      </c>
      <c r="D8" s="88"/>
      <c r="E8" s="90"/>
      <c r="F8" s="89" t="s">
        <v>52</v>
      </c>
      <c r="G8" s="88"/>
      <c r="H8" s="64"/>
      <c r="I8" s="64"/>
      <c r="J8" s="64"/>
    </row>
    <row r="9" spans="1:11" ht="18.75">
      <c r="B9" s="87" t="s">
        <v>53</v>
      </c>
      <c r="C9" s="86" t="str" cm="1">
        <f t="array" ref="C9">_xlfn.CONCAT(SUMIF(ACCPT_STATUS,APPROVED,SP_COLUMN), " SP [", COUNTIF(ACCPT_STATUS,APPROVED)," TASKS] ")</f>
        <v xml:space="preserve">21.4 SP [28 TASKS] </v>
      </c>
      <c r="D9" s="77" t="s">
        <v>54</v>
      </c>
      <c r="E9" s="87" t="s">
        <v>53</v>
      </c>
      <c r="F9" s="86" t="str">
        <f>_xlfn.CONCAT(SUM(SP_COLUMN), " SP [", COUNTA(PRIORITY_COLUMN)," TASKS] ")</f>
        <v xml:space="preserve">21.4 SP [29 TASKS] </v>
      </c>
      <c r="G9" s="85" t="s">
        <v>54</v>
      </c>
      <c r="H9" s="84"/>
      <c r="I9" s="84"/>
      <c r="J9" s="64"/>
    </row>
    <row r="10" spans="1:11" ht="19.899999999999999" customHeight="1">
      <c r="B10" s="83" t="s">
        <v>55</v>
      </c>
      <c r="C10" s="80" t="str">
        <f>_xlfn.CONCAT(SUMIF(STATUSES_COLUMN,COMPLETED,SP_COLUMN), " SP [", COUNTIF(STATUSES_COLUMN,COMPLETED)," TASKS] ")</f>
        <v xml:space="preserve">12.6 SP [16 TASKS] </v>
      </c>
      <c r="D10" s="79" cm="1">
        <f t="array" ref="D10">SUMIF(STATUSES_COLUMN,COMPLETED,SP_COLUMN)/SUMIF(ACCPT_STATUS,APPROVED,SP_COLUMN)</f>
        <v>0.58878504672897169</v>
      </c>
      <c r="E10" s="83" t="s">
        <v>56</v>
      </c>
      <c r="F10" s="80" t="str" cm="1">
        <f t="array" ref="F10">_xlfn.CONCAT(SUMIF(ACCPT_STATUS,APPROVED,SP_COLUMN), " SP [", COUNTIF(ACCPT_STATUS,APPROVED)," TASKS] ")</f>
        <v xml:space="preserve">21.4 SP [28 TASKS] </v>
      </c>
      <c r="G10" s="79" cm="1">
        <f t="array" ref="G10">COUNTIF(ACCPT_STATUS,APPROVED)/COUNTA(ACCPT_STATUS)</f>
        <v>1</v>
      </c>
      <c r="H10" s="64"/>
      <c r="I10" s="64"/>
      <c r="J10" s="70"/>
      <c r="K10" s="69"/>
    </row>
    <row r="11" spans="1:11" ht="19.899999999999999" customHeight="1">
      <c r="A11" s="76"/>
      <c r="B11" s="82" t="s">
        <v>57</v>
      </c>
      <c r="C11" s="80" t="str">
        <f>_xlfn.CONCAT(SUMIF(STATUSES_COLUMN,IN_PROGRESS,SP_COLUMN), " SP [", COUNTIF(STATUSES_COLUMN,IN_PROGRESS)," TASKS] ")</f>
        <v xml:space="preserve">0 SP [0 TASKS] </v>
      </c>
      <c r="D11" s="79" cm="1">
        <f t="array" ref="D11">SUMIF(STATUSES_COLUMN,IN_PROGRESS,SP_COLUMN)/SUMIF(ACCPT_STATUS,APPROVED,SP_COLUMN)</f>
        <v>0</v>
      </c>
      <c r="E11" s="82" t="s">
        <v>58</v>
      </c>
      <c r="F11" s="80" t="str" cm="1">
        <f t="array" ref="F11">_xlfn.CONCAT(SUMIF(ACCPT_STATUS,REJECTED,SP_COLUMN), " SP [", COUNTIF(ACCPT_STATUS,REJECTED)," TASKS] ")</f>
        <v xml:space="preserve">0 SP [0 TASKS] </v>
      </c>
      <c r="G11" s="79" cm="1">
        <f t="array" ref="G11">COUNTIF(ACCPT_STATUS,REJECTED)/COUNTA(ACCPT_STATUS)</f>
        <v>0</v>
      </c>
      <c r="H11" s="64"/>
      <c r="I11" s="64"/>
      <c r="J11" s="70"/>
      <c r="K11" s="39"/>
    </row>
    <row r="12" spans="1:11" ht="19.899999999999999" customHeight="1">
      <c r="A12" s="76"/>
      <c r="B12" s="81" t="s">
        <v>59</v>
      </c>
      <c r="C12" s="80" t="str">
        <f>_xlfn.CONCAT(SUMIF(STATUSES_COLUMN,NOT_STARTED,SP_COLUMN), " SP [", COUNTIF(STATUSES_COLUMN,NOT_STARTED)," TASKS] ")</f>
        <v xml:space="preserve">0 SP [0 TASKS] </v>
      </c>
      <c r="D12" s="79">
        <f>1-D11-D10</f>
        <v>0.41121495327102831</v>
      </c>
      <c r="E12" s="81" t="s">
        <v>60</v>
      </c>
      <c r="F12" s="80" t="str" cm="1">
        <f t="array" ref="F12">_xlfn.CONCAT(SUMIF(ACCPT_STATUS,PENDING,SP_COLUMN), " SP [", COUNTIF(ACCPT_STATUS,PENDING)," TASKS] ")</f>
        <v xml:space="preserve">0 SP [0 TASKS] </v>
      </c>
      <c r="G12" s="79">
        <f>1-G11-G10</f>
        <v>0</v>
      </c>
      <c r="H12" s="64"/>
      <c r="I12" s="64"/>
      <c r="J12" s="70"/>
      <c r="K12" s="39"/>
    </row>
    <row r="13" spans="1:11" ht="19.899999999999999" customHeight="1">
      <c r="A13" s="76"/>
      <c r="B13" s="76"/>
      <c r="C13" s="78" t="s">
        <v>52</v>
      </c>
      <c r="D13" s="77" t="s">
        <v>54</v>
      </c>
      <c r="E13" s="39"/>
      <c r="F13" s="64"/>
      <c r="G13" s="76"/>
      <c r="H13" s="64"/>
      <c r="I13" s="64"/>
      <c r="J13" s="70"/>
      <c r="K13" s="39"/>
    </row>
    <row r="14" spans="1:11">
      <c r="B14" s="75" t="s">
        <v>61</v>
      </c>
      <c r="C14" s="73" t="str">
        <f>_xlfn.CONCAT(SUMIF(PRIORITY_COLUMN,BLOCKER,SP_COLUMN), " SP [", COUNTIF(PRIORITY_COLUMN,BLOCKER)," TASKS] ")</f>
        <v xml:space="preserve">21.4 SP [29 TASKS] </v>
      </c>
      <c r="D14" s="72">
        <f>SUMIF(PRIORITY_COLUMN,BLOCKER,SP_COLUMN)/SUM(SP_COLUMN)</f>
        <v>1</v>
      </c>
      <c r="E14" s="39"/>
      <c r="F14" s="64"/>
      <c r="G14" s="65"/>
      <c r="H14" s="65"/>
      <c r="I14" s="64"/>
      <c r="J14" s="70"/>
      <c r="K14" s="69"/>
    </row>
    <row r="15" spans="1:11">
      <c r="B15" s="74" t="s">
        <v>62</v>
      </c>
      <c r="C15" s="73" t="str">
        <f>_xlfn.CONCAT(SUMIF(PRIORITY_COLUMN,MAJOR,SP_COLUMN), " SP [", COUNTIF(PRIORITY_COLUMN,MAJOR)," TASKS] ")</f>
        <v xml:space="preserve">0 SP [0 TASKS] </v>
      </c>
      <c r="D15" s="72">
        <f>SUMIF(PRIORITY_COLUMN,MAJOR,SP_COLUMN)/SUM(SP_COLUMN)</f>
        <v>0</v>
      </c>
      <c r="E15" s="39"/>
      <c r="F15" s="71"/>
      <c r="G15" s="65"/>
      <c r="H15" s="65"/>
      <c r="I15" s="64"/>
      <c r="J15" s="70"/>
      <c r="K15" s="69"/>
    </row>
    <row r="16" spans="1:11" ht="18.75">
      <c r="B16" s="68" t="s">
        <v>63</v>
      </c>
      <c r="C16" s="67">
        <v>6.6600000000000006E-2</v>
      </c>
      <c r="D16" s="66" t="s">
        <v>64</v>
      </c>
      <c r="E16" s="39"/>
      <c r="F16" s="64"/>
      <c r="G16" s="62"/>
      <c r="H16" s="62"/>
      <c r="I16" s="65"/>
      <c r="J16" s="64"/>
    </row>
    <row r="17" spans="2:15" s="55" customFormat="1" ht="15">
      <c r="B17" s="63"/>
      <c r="C17" s="59"/>
      <c r="D17" s="59"/>
      <c r="E17" s="59"/>
      <c r="F17" s="59"/>
      <c r="G17" s="62"/>
      <c r="H17" s="61"/>
      <c r="I17" s="60"/>
      <c r="J17" s="59"/>
      <c r="K17" s="49"/>
      <c r="L17" s="39"/>
      <c r="O17" s="51"/>
    </row>
    <row r="18" spans="2:15" s="55" customFormat="1" ht="15">
      <c r="B18" s="58" t="s">
        <v>65</v>
      </c>
      <c r="C18" s="47" t="s">
        <v>66</v>
      </c>
      <c r="D18" s="47" t="s">
        <v>67</v>
      </c>
      <c r="E18" s="47" t="s">
        <v>68</v>
      </c>
      <c r="F18" s="47" t="s">
        <v>69</v>
      </c>
      <c r="G18" s="48" t="s">
        <v>70</v>
      </c>
      <c r="H18" s="47" t="s">
        <v>71</v>
      </c>
      <c r="I18" s="58" t="s">
        <v>72</v>
      </c>
      <c r="J18" s="56" t="s">
        <v>73</v>
      </c>
      <c r="K18" s="49" t="s">
        <v>74</v>
      </c>
      <c r="L18" s="48" t="s">
        <v>75</v>
      </c>
      <c r="M18" s="47" t="s">
        <v>76</v>
      </c>
      <c r="N18" s="47" t="s">
        <v>77</v>
      </c>
      <c r="O18" s="46" t="s">
        <v>78</v>
      </c>
    </row>
    <row r="19" spans="2:15" s="57" customFormat="1" ht="15">
      <c r="B19" s="54" t="s">
        <v>79</v>
      </c>
      <c r="C19" s="47" t="s">
        <v>80</v>
      </c>
      <c r="D19" s="47" t="s">
        <v>56</v>
      </c>
      <c r="E19" s="100">
        <v>44386</v>
      </c>
      <c r="F19" s="100">
        <v>44435</v>
      </c>
      <c r="G19" s="52">
        <f>ROUND($C$16*Table5[[#This Row],[Hours]],2)</f>
        <v>0.6</v>
      </c>
      <c r="H19" s="47">
        <v>9</v>
      </c>
      <c r="I19" s="101" t="s">
        <v>194</v>
      </c>
      <c r="J19" s="56" t="s">
        <v>61</v>
      </c>
      <c r="K19" s="49">
        <v>0.7</v>
      </c>
      <c r="L19" s="48" t="s">
        <v>205</v>
      </c>
      <c r="M19" s="47"/>
      <c r="N19" s="47"/>
      <c r="O19" s="46"/>
    </row>
    <row r="20" spans="2:15" s="57" customFormat="1" ht="30">
      <c r="B20" s="102" t="s">
        <v>178</v>
      </c>
      <c r="C20" s="47" t="s">
        <v>80</v>
      </c>
      <c r="D20" s="47" t="s">
        <v>56</v>
      </c>
      <c r="E20" s="100">
        <v>44389</v>
      </c>
      <c r="F20" s="100">
        <v>44389</v>
      </c>
      <c r="G20" s="52">
        <f>ROUND($C$16*Table5[[#This Row],[Hours]],2)</f>
        <v>0.6</v>
      </c>
      <c r="H20" s="47">
        <v>9</v>
      </c>
      <c r="I20" s="101" t="s">
        <v>194</v>
      </c>
      <c r="J20" s="56" t="s">
        <v>61</v>
      </c>
      <c r="K20" s="49">
        <v>1</v>
      </c>
      <c r="L20" s="48" t="s">
        <v>55</v>
      </c>
      <c r="M20" s="47"/>
      <c r="N20" s="47"/>
      <c r="O20" s="47" t="s">
        <v>203</v>
      </c>
    </row>
    <row r="21" spans="2:15" s="57" customFormat="1" ht="32.25" customHeight="1">
      <c r="B21" s="102" t="s">
        <v>200</v>
      </c>
      <c r="C21" s="47" t="s">
        <v>80</v>
      </c>
      <c r="D21" s="166" t="s">
        <v>56</v>
      </c>
      <c r="E21" s="100">
        <v>44390</v>
      </c>
      <c r="F21" s="100">
        <v>44390</v>
      </c>
      <c r="G21" s="52">
        <f>ROUND($C$16*Table5[[#This Row],[Hours]],2)</f>
        <v>0.6</v>
      </c>
      <c r="H21" s="166">
        <v>9</v>
      </c>
      <c r="I21" s="101" t="s">
        <v>194</v>
      </c>
      <c r="J21" s="56" t="s">
        <v>61</v>
      </c>
      <c r="K21" s="49">
        <v>1</v>
      </c>
      <c r="L21" s="48" t="str">
        <f>IF(AND(LEN(K21)&gt;0,D21="APPROVED"),VLOOKUP(Table5[[#This Row],[COMPLETION %]],COMPL_STATUS,2,1),"")</f>
        <v>COMPLETED</v>
      </c>
      <c r="M21" s="166"/>
      <c r="N21" s="166"/>
      <c r="O21" s="58"/>
    </row>
    <row r="22" spans="2:15" s="57" customFormat="1" ht="30">
      <c r="B22" s="102" t="s">
        <v>179</v>
      </c>
      <c r="C22" s="47" t="s">
        <v>80</v>
      </c>
      <c r="D22" s="47" t="s">
        <v>56</v>
      </c>
      <c r="E22" s="100">
        <v>44391</v>
      </c>
      <c r="F22" s="100">
        <v>44393</v>
      </c>
      <c r="G22" s="52">
        <f>ROUND($C$16*Table5[[#This Row],[Hours]],2)</f>
        <v>1.6</v>
      </c>
      <c r="H22" s="47">
        <v>24</v>
      </c>
      <c r="I22" s="101" t="s">
        <v>194</v>
      </c>
      <c r="J22" s="56" t="s">
        <v>61</v>
      </c>
      <c r="K22" s="49">
        <v>1</v>
      </c>
      <c r="L22" s="48" t="str">
        <f>IF(AND(LEN(K22)&gt;0,D22="APPROVED"),VLOOKUP(Table5[[#This Row],[COMPLETION %]],COMPL_STATUS,2,1),"")</f>
        <v>COMPLETED</v>
      </c>
      <c r="M22" s="47"/>
      <c r="N22" s="47"/>
      <c r="O22" s="46"/>
    </row>
    <row r="23" spans="2:15" s="57" customFormat="1" ht="15">
      <c r="B23" s="54" t="s">
        <v>180</v>
      </c>
      <c r="C23" s="47" t="s">
        <v>80</v>
      </c>
      <c r="D23" s="47" t="s">
        <v>56</v>
      </c>
      <c r="E23" s="100">
        <v>44393</v>
      </c>
      <c r="F23" s="100">
        <v>44396</v>
      </c>
      <c r="G23" s="52">
        <f>ROUND($C$16*Table5[[#This Row],[Hours]],2)</f>
        <v>0.6</v>
      </c>
      <c r="H23" s="47">
        <v>9</v>
      </c>
      <c r="I23" s="101" t="s">
        <v>194</v>
      </c>
      <c r="J23" s="56" t="s">
        <v>61</v>
      </c>
      <c r="K23" s="49">
        <v>1</v>
      </c>
      <c r="L23" s="48" t="str">
        <f>IF(AND(LEN(K23)&gt;0,D23="APPROVED"),VLOOKUP(Table5[[#This Row],[COMPLETION %]],COMPL_STATUS,2,1),"")</f>
        <v>COMPLETED</v>
      </c>
      <c r="M23" s="47"/>
      <c r="N23" s="47"/>
      <c r="O23" s="46"/>
    </row>
    <row r="24" spans="2:15" s="57" customFormat="1" ht="15">
      <c r="B24" s="102" t="s">
        <v>181</v>
      </c>
      <c r="C24" s="47" t="s">
        <v>80</v>
      </c>
      <c r="D24" s="47" t="s">
        <v>56</v>
      </c>
      <c r="E24" s="100">
        <v>44397</v>
      </c>
      <c r="F24" s="100">
        <v>44398</v>
      </c>
      <c r="G24" s="52">
        <f>ROUND($C$16*Table5[[#This Row],[Hours]],2)</f>
        <v>0.6</v>
      </c>
      <c r="H24" s="47">
        <v>9</v>
      </c>
      <c r="I24" s="101" t="s">
        <v>194</v>
      </c>
      <c r="J24" s="56" t="s">
        <v>61</v>
      </c>
      <c r="K24" s="49">
        <v>1</v>
      </c>
      <c r="L24" s="48" t="str">
        <f>IF(AND(LEN(K24)&gt;0,D24="APPROVED"),VLOOKUP(Table5[[#This Row],[COMPLETION %]],COMPL_STATUS,2,1),"")</f>
        <v>COMPLETED</v>
      </c>
      <c r="M24" s="47"/>
      <c r="N24" s="47"/>
      <c r="O24" s="46"/>
    </row>
    <row r="25" spans="2:15" s="57" customFormat="1" ht="15">
      <c r="B25" s="54" t="s">
        <v>182</v>
      </c>
      <c r="C25" s="47" t="s">
        <v>80</v>
      </c>
      <c r="D25" s="54" t="s">
        <v>56</v>
      </c>
      <c r="E25" s="100">
        <v>44398</v>
      </c>
      <c r="F25" s="100">
        <v>44398</v>
      </c>
      <c r="G25" s="52">
        <f>ROUND($C$16*Table5[[#This Row],[Hours]],2)</f>
        <v>0.6</v>
      </c>
      <c r="H25" s="47">
        <v>9</v>
      </c>
      <c r="I25" s="101" t="s">
        <v>194</v>
      </c>
      <c r="J25" s="56" t="s">
        <v>61</v>
      </c>
      <c r="K25" s="49">
        <v>1</v>
      </c>
      <c r="L25" s="48" t="str">
        <f>IF(AND(LEN(K25)&gt;0,D25="APPROVED"),VLOOKUP(Table5[[#This Row],[COMPLETION %]],COMPL_STATUS,2,1),"")</f>
        <v>COMPLETED</v>
      </c>
      <c r="M25" s="47"/>
      <c r="N25" s="47"/>
      <c r="O25" s="46"/>
    </row>
    <row r="26" spans="2:15" s="57" customFormat="1" ht="66" customHeight="1">
      <c r="B26" s="102" t="s">
        <v>195</v>
      </c>
      <c r="C26" s="47" t="s">
        <v>80</v>
      </c>
      <c r="D26" s="47" t="s">
        <v>56</v>
      </c>
      <c r="E26" s="167">
        <v>44399</v>
      </c>
      <c r="F26" s="167">
        <v>44400</v>
      </c>
      <c r="G26" s="52">
        <f>ROUND($C$16*Table5[[#This Row],[Hours]],2)</f>
        <v>1.2</v>
      </c>
      <c r="H26" s="47">
        <v>18</v>
      </c>
      <c r="I26" s="101" t="s">
        <v>194</v>
      </c>
      <c r="J26" s="56" t="s">
        <v>61</v>
      </c>
      <c r="K26" s="49">
        <v>0.9</v>
      </c>
      <c r="L26" s="48" t="s">
        <v>55</v>
      </c>
      <c r="M26" s="47"/>
      <c r="N26" s="47"/>
      <c r="O26" s="46"/>
    </row>
    <row r="27" spans="2:15" s="55" customFormat="1" ht="15">
      <c r="B27" s="54" t="s">
        <v>81</v>
      </c>
      <c r="C27" s="47" t="s">
        <v>80</v>
      </c>
      <c r="D27" s="47" t="s">
        <v>56</v>
      </c>
      <c r="E27" s="167">
        <v>44403</v>
      </c>
      <c r="F27" s="167">
        <v>44403</v>
      </c>
      <c r="G27" s="52">
        <f>ROUND($C$16*Table5[[#This Row],[Hours]],2)</f>
        <v>0.6</v>
      </c>
      <c r="H27" s="47">
        <v>9</v>
      </c>
      <c r="I27" s="101" t="s">
        <v>194</v>
      </c>
      <c r="J27" s="56" t="s">
        <v>61</v>
      </c>
      <c r="K27" s="49">
        <v>1</v>
      </c>
      <c r="L27" s="48" t="s">
        <v>55</v>
      </c>
      <c r="M27" s="47"/>
      <c r="N27" s="47"/>
      <c r="O27" s="46"/>
    </row>
    <row r="28" spans="2:15" s="57" customFormat="1" ht="45">
      <c r="B28" s="102" t="s">
        <v>183</v>
      </c>
      <c r="C28" s="47" t="s">
        <v>80</v>
      </c>
      <c r="D28" s="47" t="s">
        <v>56</v>
      </c>
      <c r="E28" s="167">
        <v>44404</v>
      </c>
      <c r="F28" s="167">
        <v>44404</v>
      </c>
      <c r="G28" s="52">
        <f>ROUND($C$16*Table5[[#This Row],[Hours]],2)</f>
        <v>0.6</v>
      </c>
      <c r="H28" s="47">
        <v>9</v>
      </c>
      <c r="I28" s="101" t="s">
        <v>194</v>
      </c>
      <c r="J28" s="56" t="s">
        <v>61</v>
      </c>
      <c r="K28" s="49">
        <v>0.9</v>
      </c>
      <c r="L28" s="48" t="s">
        <v>55</v>
      </c>
      <c r="M28" s="47"/>
      <c r="N28" s="47"/>
      <c r="O28" s="46"/>
    </row>
    <row r="29" spans="2:15" s="57" customFormat="1" ht="30">
      <c r="B29" s="102" t="s">
        <v>184</v>
      </c>
      <c r="C29" s="47" t="s">
        <v>80</v>
      </c>
      <c r="D29" s="47" t="s">
        <v>56</v>
      </c>
      <c r="E29" s="167">
        <v>44405</v>
      </c>
      <c r="F29" s="167">
        <v>44406</v>
      </c>
      <c r="G29" s="52">
        <f>ROUND($C$16*Table5[[#This Row],[Hours]],2)</f>
        <v>1.2</v>
      </c>
      <c r="H29" s="47">
        <v>18</v>
      </c>
      <c r="I29" s="101" t="s">
        <v>194</v>
      </c>
      <c r="J29" s="56" t="s">
        <v>61</v>
      </c>
      <c r="K29" s="49">
        <v>1</v>
      </c>
      <c r="L29" s="48" t="str">
        <f>IF(AND(LEN(K29)&gt;0,D29="APPROVED"),VLOOKUP(Table5[[#This Row],[COMPLETION %]],COMPL_STATUS,2,1),"")</f>
        <v>COMPLETED</v>
      </c>
      <c r="M29" s="47"/>
      <c r="N29" s="47"/>
      <c r="O29" s="46"/>
    </row>
    <row r="30" spans="2:15" s="55" customFormat="1" ht="60">
      <c r="B30" s="102" t="s">
        <v>201</v>
      </c>
      <c r="C30" s="47" t="s">
        <v>80</v>
      </c>
      <c r="D30" s="47" t="s">
        <v>56</v>
      </c>
      <c r="E30" s="167">
        <v>44407</v>
      </c>
      <c r="F30" s="167">
        <v>44410</v>
      </c>
      <c r="G30" s="52">
        <f>ROUND($C$16*Table5[[#This Row],[Hours]],2)</f>
        <v>1.2</v>
      </c>
      <c r="H30" s="47">
        <v>18</v>
      </c>
      <c r="I30" s="101" t="s">
        <v>194</v>
      </c>
      <c r="J30" s="56" t="s">
        <v>61</v>
      </c>
      <c r="K30" s="49">
        <v>0.9</v>
      </c>
      <c r="L30" s="48" t="s">
        <v>55</v>
      </c>
      <c r="M30" s="47"/>
      <c r="N30" s="47"/>
      <c r="O30" s="46"/>
    </row>
    <row r="31" spans="2:15" s="55" customFormat="1" ht="30">
      <c r="B31" s="102" t="s">
        <v>185</v>
      </c>
      <c r="C31" s="47" t="s">
        <v>80</v>
      </c>
      <c r="D31" s="47" t="s">
        <v>56</v>
      </c>
      <c r="E31" s="167">
        <v>44411</v>
      </c>
      <c r="F31" s="167">
        <v>44411</v>
      </c>
      <c r="G31" s="52">
        <f>ROUND($C$16*Table5[[#This Row],[Hours]],2)</f>
        <v>0.6</v>
      </c>
      <c r="H31" s="47">
        <v>9</v>
      </c>
      <c r="I31" s="101" t="s">
        <v>194</v>
      </c>
      <c r="J31" s="56" t="s">
        <v>61</v>
      </c>
      <c r="K31" s="49">
        <v>0.9</v>
      </c>
      <c r="L31" s="48" t="s">
        <v>55</v>
      </c>
      <c r="M31" s="47"/>
      <c r="N31" s="47"/>
      <c r="O31" s="46"/>
    </row>
    <row r="32" spans="2:15" s="55" customFormat="1" ht="30">
      <c r="B32" s="102" t="s">
        <v>187</v>
      </c>
      <c r="C32" s="47" t="s">
        <v>80</v>
      </c>
      <c r="D32" s="47" t="s">
        <v>56</v>
      </c>
      <c r="E32" s="167">
        <v>44412</v>
      </c>
      <c r="F32" s="167">
        <v>44412</v>
      </c>
      <c r="G32" s="52">
        <f>ROUND($C$16*Table5[[#This Row],[Hours]],2)</f>
        <v>0.6</v>
      </c>
      <c r="H32" s="47">
        <v>9</v>
      </c>
      <c r="I32" s="101" t="s">
        <v>194</v>
      </c>
      <c r="J32" s="56" t="s">
        <v>61</v>
      </c>
      <c r="K32" s="49">
        <v>0.9</v>
      </c>
      <c r="L32" s="48" t="s">
        <v>55</v>
      </c>
      <c r="M32" s="47"/>
      <c r="N32" s="47"/>
      <c r="O32" s="46"/>
    </row>
    <row r="33" spans="2:15" s="55" customFormat="1" ht="15">
      <c r="B33" s="102" t="s">
        <v>186</v>
      </c>
      <c r="C33" s="47" t="s">
        <v>80</v>
      </c>
      <c r="D33" s="47" t="s">
        <v>56</v>
      </c>
      <c r="E33" s="167">
        <v>44413</v>
      </c>
      <c r="F33" s="170">
        <v>44413</v>
      </c>
      <c r="G33" s="52">
        <f>ROUND($C$16*Table5[[#This Row],[Hours]],2)</f>
        <v>0.6</v>
      </c>
      <c r="H33" s="47">
        <v>9</v>
      </c>
      <c r="I33" s="101" t="s">
        <v>194</v>
      </c>
      <c r="J33" s="56" t="s">
        <v>61</v>
      </c>
      <c r="K33" s="49">
        <v>0.9</v>
      </c>
      <c r="L33" s="48" t="s">
        <v>55</v>
      </c>
      <c r="M33" s="47"/>
      <c r="N33" s="47"/>
      <c r="O33" s="46"/>
    </row>
    <row r="34" spans="2:15" s="55" customFormat="1" ht="30">
      <c r="B34" s="102" t="s">
        <v>190</v>
      </c>
      <c r="C34" s="47" t="s">
        <v>80</v>
      </c>
      <c r="D34" s="47" t="s">
        <v>56</v>
      </c>
      <c r="E34" s="167">
        <v>44414</v>
      </c>
      <c r="F34" s="167">
        <v>44426</v>
      </c>
      <c r="G34" s="52">
        <f>ROUND($C$16*Table5[[#This Row],[Hours]],2)</f>
        <v>0.8</v>
      </c>
      <c r="H34" s="47">
        <v>12</v>
      </c>
      <c r="I34" s="101" t="s">
        <v>194</v>
      </c>
      <c r="J34" s="56" t="s">
        <v>61</v>
      </c>
      <c r="K34" s="49">
        <v>0.9</v>
      </c>
      <c r="L34" s="48" t="s">
        <v>55</v>
      </c>
      <c r="M34" s="47"/>
      <c r="N34" s="47"/>
      <c r="O34" s="46"/>
    </row>
    <row r="35" spans="2:15" s="171" customFormat="1" ht="15">
      <c r="B35" s="173" t="s">
        <v>207</v>
      </c>
      <c r="C35" s="174"/>
      <c r="D35" s="175"/>
      <c r="E35" s="183">
        <v>44417</v>
      </c>
      <c r="F35" s="183">
        <v>44425</v>
      </c>
      <c r="G35" s="176">
        <f>ROUND($C$16*Table5[[#This Row],[Hours]],2)</f>
        <v>0</v>
      </c>
      <c r="H35" s="177"/>
      <c r="I35" s="178"/>
      <c r="J35" s="179" t="s">
        <v>61</v>
      </c>
      <c r="K35" s="180"/>
      <c r="L35" s="181" t="str">
        <f>IF(AND(LEN(K35)&gt;0,D35="APPROVED"),VLOOKUP(Table5[[#This Row],[COMPLETION %]],COMPL_STATUS,2,1),"")</f>
        <v/>
      </c>
      <c r="M35" s="177"/>
      <c r="N35" s="177"/>
      <c r="O35" s="172" t="s">
        <v>206</v>
      </c>
    </row>
    <row r="36" spans="2:15" s="55" customFormat="1" ht="60">
      <c r="B36" s="51" t="s">
        <v>197</v>
      </c>
      <c r="C36" s="54" t="s">
        <v>80</v>
      </c>
      <c r="D36" s="54" t="s">
        <v>56</v>
      </c>
      <c r="E36" s="167">
        <v>44427</v>
      </c>
      <c r="F36" s="167">
        <v>44428</v>
      </c>
      <c r="G36" s="52">
        <f>ROUND($C$16*Table5[[#This Row],[Hours]],2)</f>
        <v>1.2</v>
      </c>
      <c r="H36" s="47">
        <v>18</v>
      </c>
      <c r="I36" s="101" t="s">
        <v>194</v>
      </c>
      <c r="J36" s="50" t="s">
        <v>61</v>
      </c>
      <c r="K36" s="49">
        <v>0.8</v>
      </c>
      <c r="L36" s="48" t="s">
        <v>205</v>
      </c>
      <c r="M36" s="47"/>
      <c r="N36" s="47"/>
      <c r="O36" s="46"/>
    </row>
    <row r="37" spans="2:15" s="55" customFormat="1" ht="15">
      <c r="B37" s="54" t="s">
        <v>196</v>
      </c>
      <c r="C37" s="47" t="s">
        <v>80</v>
      </c>
      <c r="D37" s="168" t="s">
        <v>56</v>
      </c>
      <c r="E37" s="167">
        <v>44427</v>
      </c>
      <c r="F37" s="167">
        <v>44431</v>
      </c>
      <c r="G37" s="52">
        <f>ROUND($C$16*Table5[[#This Row],[Hours]],2)</f>
        <v>0.4</v>
      </c>
      <c r="H37" s="169">
        <v>6</v>
      </c>
      <c r="I37" s="101" t="s">
        <v>194</v>
      </c>
      <c r="J37" s="56" t="s">
        <v>61</v>
      </c>
      <c r="K37" s="49">
        <v>0.8</v>
      </c>
      <c r="L37" s="48" t="s">
        <v>205</v>
      </c>
      <c r="M37" s="169"/>
      <c r="N37" s="169"/>
      <c r="O37" s="46" t="s">
        <v>202</v>
      </c>
    </row>
    <row r="38" spans="2:15" s="55" customFormat="1" ht="45">
      <c r="B38" s="102" t="s">
        <v>198</v>
      </c>
      <c r="C38" s="54" t="s">
        <v>80</v>
      </c>
      <c r="D38" s="54" t="s">
        <v>56</v>
      </c>
      <c r="E38" s="167">
        <v>44431</v>
      </c>
      <c r="F38" s="167">
        <v>44432</v>
      </c>
      <c r="G38" s="52">
        <f>ROUND($C$16*Table5[[#This Row],[Hours]],2)</f>
        <v>1.2</v>
      </c>
      <c r="H38" s="47">
        <v>18</v>
      </c>
      <c r="I38" s="101" t="s">
        <v>194</v>
      </c>
      <c r="J38" s="50" t="s">
        <v>61</v>
      </c>
      <c r="K38" s="49">
        <v>0.8</v>
      </c>
      <c r="L38" s="48" t="s">
        <v>205</v>
      </c>
      <c r="M38" s="47"/>
      <c r="N38" s="47"/>
      <c r="O38" s="46"/>
    </row>
    <row r="39" spans="2:15" s="55" customFormat="1" ht="15">
      <c r="B39" s="54" t="s">
        <v>81</v>
      </c>
      <c r="C39" s="47" t="s">
        <v>80</v>
      </c>
      <c r="D39" s="47" t="s">
        <v>56</v>
      </c>
      <c r="E39" s="167">
        <v>44433</v>
      </c>
      <c r="F39" s="167">
        <v>44433</v>
      </c>
      <c r="G39" s="52">
        <f>ROUND($C$16*Table5[[#This Row],[Hours]],2)</f>
        <v>0.6</v>
      </c>
      <c r="H39" s="47">
        <v>9</v>
      </c>
      <c r="I39" s="101" t="s">
        <v>194</v>
      </c>
      <c r="J39" s="56" t="s">
        <v>61</v>
      </c>
      <c r="K39" s="49">
        <v>1</v>
      </c>
      <c r="L39" s="48" t="s">
        <v>55</v>
      </c>
      <c r="M39" s="47"/>
      <c r="N39" s="47"/>
      <c r="O39" s="46" t="s">
        <v>204</v>
      </c>
    </row>
    <row r="40" spans="2:15" s="55" customFormat="1" ht="15">
      <c r="B40" s="102" t="s">
        <v>186</v>
      </c>
      <c r="C40" s="54" t="s">
        <v>80</v>
      </c>
      <c r="D40" s="54" t="s">
        <v>56</v>
      </c>
      <c r="E40" s="167">
        <v>44434</v>
      </c>
      <c r="F40" s="167">
        <v>44434</v>
      </c>
      <c r="G40" s="52">
        <f>ROUND($C$16*Table5[[#This Row],[Hours]],2)</f>
        <v>0.6</v>
      </c>
      <c r="H40" s="47">
        <v>9</v>
      </c>
      <c r="I40" s="101" t="s">
        <v>194</v>
      </c>
      <c r="J40" s="50" t="s">
        <v>61</v>
      </c>
      <c r="K40" s="49">
        <v>0.8</v>
      </c>
      <c r="L40" s="48" t="s">
        <v>205</v>
      </c>
      <c r="M40" s="47"/>
      <c r="N40" s="47"/>
      <c r="O40" s="46"/>
    </row>
    <row r="41" spans="2:15" s="55" customFormat="1" ht="30">
      <c r="B41" s="51" t="s">
        <v>189</v>
      </c>
      <c r="C41" s="54" t="s">
        <v>80</v>
      </c>
      <c r="D41" s="54" t="s">
        <v>56</v>
      </c>
      <c r="E41" s="167">
        <v>44435</v>
      </c>
      <c r="F41" s="167">
        <v>44435</v>
      </c>
      <c r="G41" s="52">
        <f>ROUND($C$16*Table5[[#This Row],[Hours]],2)</f>
        <v>0.6</v>
      </c>
      <c r="H41" s="47">
        <v>9</v>
      </c>
      <c r="I41" s="101" t="s">
        <v>194</v>
      </c>
      <c r="J41" s="50" t="s">
        <v>61</v>
      </c>
      <c r="K41" s="49">
        <v>0.8</v>
      </c>
      <c r="L41" s="48" t="s">
        <v>205</v>
      </c>
      <c r="M41" s="47"/>
      <c r="N41" s="47"/>
      <c r="O41" s="46"/>
    </row>
    <row r="42" spans="2:15" s="55" customFormat="1" ht="15">
      <c r="B42" s="184" t="s">
        <v>208</v>
      </c>
      <c r="C42" s="185"/>
      <c r="D42" s="175"/>
      <c r="E42" s="183">
        <v>44438</v>
      </c>
      <c r="F42" s="183">
        <v>44438</v>
      </c>
      <c r="G42" s="176">
        <f>ROUND($C$16*Table5[[#This Row],[Hours]],2)</f>
        <v>0</v>
      </c>
      <c r="H42" s="177"/>
      <c r="I42" s="178"/>
      <c r="J42" s="186"/>
      <c r="K42" s="180"/>
      <c r="L42" s="181" t="str">
        <f>IF(AND(LEN(K42)&gt;0,D42="APPROVED"),VLOOKUP(Table5[[#This Row],[COMPLETION %]],COMPL_STATUS,2,1),"")</f>
        <v/>
      </c>
      <c r="M42" s="177"/>
      <c r="N42" s="177"/>
      <c r="O42" s="182"/>
    </row>
    <row r="43" spans="2:15" s="55" customFormat="1" ht="45.75" customHeight="1">
      <c r="B43" s="51" t="s">
        <v>199</v>
      </c>
      <c r="C43" s="54" t="s">
        <v>80</v>
      </c>
      <c r="D43" s="54" t="s">
        <v>56</v>
      </c>
      <c r="E43" s="167">
        <v>44439</v>
      </c>
      <c r="F43" s="167">
        <v>44439</v>
      </c>
      <c r="G43" s="52">
        <f>ROUND($C$16*Table5[[#This Row],[Hours]],2)</f>
        <v>0.6</v>
      </c>
      <c r="H43" s="47">
        <v>9</v>
      </c>
      <c r="I43" s="101" t="s">
        <v>194</v>
      </c>
      <c r="J43" s="50" t="s">
        <v>61</v>
      </c>
      <c r="K43" s="49"/>
      <c r="L43" s="48" t="str">
        <f>IF(AND(LEN(K43)&gt;0,D43="APPROVED"),VLOOKUP(Table5[[#This Row],[COMPLETION %]],COMPL_STATUS,2,1),"")</f>
        <v/>
      </c>
      <c r="M43" s="47"/>
      <c r="N43" s="47"/>
      <c r="O43" s="46"/>
    </row>
    <row r="44" spans="2:15" s="55" customFormat="1" ht="15">
      <c r="B44" s="55" t="s">
        <v>188</v>
      </c>
      <c r="C44" s="54" t="s">
        <v>80</v>
      </c>
      <c r="D44" s="54" t="s">
        <v>56</v>
      </c>
      <c r="E44" s="167">
        <v>44440</v>
      </c>
      <c r="F44" s="167">
        <v>44440</v>
      </c>
      <c r="G44" s="52">
        <f>ROUND($C$16*Table5[[#This Row],[Hours]],2)</f>
        <v>0.6</v>
      </c>
      <c r="H44" s="47">
        <v>9</v>
      </c>
      <c r="I44" s="101" t="s">
        <v>194</v>
      </c>
      <c r="J44" s="50" t="s">
        <v>61</v>
      </c>
      <c r="K44" s="49"/>
      <c r="L44" s="48" t="str">
        <f>IF(AND(LEN(K44)&gt;0,D44="APPROVED"),VLOOKUP(Table5[[#This Row],[COMPLETION %]],COMPL_STATUS,2,1),"")</f>
        <v/>
      </c>
      <c r="M44" s="47"/>
      <c r="N44" s="47"/>
      <c r="O44" s="46"/>
    </row>
    <row r="45" spans="2:15" s="55" customFormat="1" ht="45">
      <c r="B45" s="51" t="s">
        <v>191</v>
      </c>
      <c r="C45" s="54" t="s">
        <v>80</v>
      </c>
      <c r="D45" s="54" t="s">
        <v>56</v>
      </c>
      <c r="E45" s="167">
        <v>44441</v>
      </c>
      <c r="F45" s="167">
        <v>44441</v>
      </c>
      <c r="G45" s="52">
        <f>ROUND($C$16*Table5[[#This Row],[Hours]],2)</f>
        <v>0.6</v>
      </c>
      <c r="H45" s="47">
        <v>9</v>
      </c>
      <c r="I45" s="101" t="s">
        <v>194</v>
      </c>
      <c r="J45" s="50" t="s">
        <v>61</v>
      </c>
      <c r="K45" s="49"/>
      <c r="L45" s="48" t="str">
        <f>IF(AND(LEN(K45)&gt;0,D45="APPROVED"),VLOOKUP(Table5[[#This Row],[COMPLETION %]],COMPL_STATUS,2,1),"")</f>
        <v/>
      </c>
      <c r="M45" s="47"/>
      <c r="N45" s="47"/>
      <c r="O45" s="46"/>
    </row>
    <row r="46" spans="2:15" s="55" customFormat="1" ht="15">
      <c r="B46" s="51" t="s">
        <v>192</v>
      </c>
      <c r="C46" s="54" t="s">
        <v>80</v>
      </c>
      <c r="D46" s="54" t="s">
        <v>56</v>
      </c>
      <c r="E46" s="167">
        <v>44442</v>
      </c>
      <c r="F46" s="167">
        <v>44442</v>
      </c>
      <c r="G46" s="52">
        <f>ROUND($C$16*Table5[[#This Row],[Hours]],2)</f>
        <v>0.6</v>
      </c>
      <c r="H46" s="47">
        <v>9</v>
      </c>
      <c r="I46" s="101" t="s">
        <v>194</v>
      </c>
      <c r="J46" s="50" t="s">
        <v>61</v>
      </c>
      <c r="K46" s="49"/>
      <c r="L46" s="48" t="str">
        <f>IF(AND(LEN(K46)&gt;0,D46="APPROVED"),VLOOKUP(Table5[[#This Row],[COMPLETION %]],COMPL_STATUS,2,1),"")</f>
        <v/>
      </c>
      <c r="M46" s="47"/>
      <c r="N46" s="47"/>
      <c r="O46" s="46"/>
    </row>
    <row r="47" spans="2:15" s="55" customFormat="1" ht="30">
      <c r="B47" s="51" t="s">
        <v>193</v>
      </c>
      <c r="C47" s="54" t="s">
        <v>80</v>
      </c>
      <c r="D47" s="54" t="s">
        <v>56</v>
      </c>
      <c r="E47" s="167">
        <v>44445</v>
      </c>
      <c r="F47" s="167">
        <v>44446</v>
      </c>
      <c r="G47" s="52">
        <f>ROUND($C$16*Table5[[#This Row],[Hours]],2)</f>
        <v>1.2</v>
      </c>
      <c r="H47" s="47">
        <v>18</v>
      </c>
      <c r="I47" s="101" t="s">
        <v>194</v>
      </c>
      <c r="J47" s="50" t="s">
        <v>61</v>
      </c>
      <c r="K47" s="49"/>
      <c r="L47" s="48" t="str">
        <f>IF(AND(LEN(K47)&gt;0,D47="APPROVED"),VLOOKUP(Table5[[#This Row],[COMPLETION %]],COMPL_STATUS,2,1),"")</f>
        <v/>
      </c>
      <c r="M47" s="47"/>
      <c r="N47" s="47"/>
      <c r="O47" s="46"/>
    </row>
    <row r="48" spans="2:15" s="55" customFormat="1" ht="15">
      <c r="B48" s="54" t="s">
        <v>81</v>
      </c>
      <c r="C48" s="47" t="s">
        <v>80</v>
      </c>
      <c r="D48" s="47" t="s">
        <v>56</v>
      </c>
      <c r="E48" s="167">
        <v>44447</v>
      </c>
      <c r="F48" s="167">
        <v>44447</v>
      </c>
      <c r="G48" s="52">
        <f>ROUND($C$16*Table5[[#This Row],[Hours]],2)</f>
        <v>0.6</v>
      </c>
      <c r="H48" s="47">
        <v>9</v>
      </c>
      <c r="I48" s="101" t="s">
        <v>194</v>
      </c>
      <c r="J48" s="56" t="s">
        <v>61</v>
      </c>
      <c r="K48" s="49"/>
      <c r="L48" s="48"/>
      <c r="M48" s="47"/>
      <c r="N48" s="47"/>
      <c r="O48" s="46"/>
    </row>
    <row r="49" spans="3:15" s="55" customFormat="1" ht="15">
      <c r="C49" s="54"/>
      <c r="D49" s="54"/>
      <c r="E49" s="53"/>
      <c r="F49" s="53"/>
      <c r="G49" s="52">
        <f>ROUND($C$16*Table5[[#This Row],[Hours]],2)</f>
        <v>0</v>
      </c>
      <c r="H49" s="47"/>
      <c r="I49" s="51"/>
      <c r="J49" s="50"/>
      <c r="K49" s="49"/>
      <c r="L49" s="48" t="str">
        <f>IF(AND(LEN(K49)&gt;0,D49="APPROVED"),VLOOKUP(Table5[[#This Row],[COMPLETION %]],COMPL_STATUS,2,1),"")</f>
        <v/>
      </c>
      <c r="M49" s="47"/>
      <c r="N49" s="47"/>
      <c r="O49" s="46"/>
    </row>
    <row r="50" spans="3:15" s="55" customFormat="1" ht="15">
      <c r="C50" s="54"/>
      <c r="D50" s="54"/>
      <c r="E50" s="53"/>
      <c r="F50" s="53"/>
      <c r="G50" s="52">
        <f>ROUND($C$16*Table5[[#This Row],[Hours]],2)</f>
        <v>0</v>
      </c>
      <c r="H50" s="47"/>
      <c r="I50" s="51"/>
      <c r="J50" s="50"/>
      <c r="K50" s="49"/>
      <c r="L50" s="48" t="str">
        <f>IF(AND(LEN(K50)&gt;0,D50="APPROVED"),VLOOKUP(Table5[[#This Row],[COMPLETION %]],COMPL_STATUS,2,1),"")</f>
        <v/>
      </c>
      <c r="M50" s="47"/>
      <c r="N50" s="47"/>
      <c r="O50" s="46"/>
    </row>
    <row r="51" spans="3:15" s="55" customFormat="1" ht="15">
      <c r="C51" s="54"/>
      <c r="D51" s="54"/>
      <c r="E51" s="53"/>
      <c r="F51" s="53"/>
      <c r="G51" s="52">
        <f>ROUND($C$16*Table5[[#This Row],[Hours]],2)</f>
        <v>0</v>
      </c>
      <c r="H51" s="47"/>
      <c r="I51" s="51"/>
      <c r="J51" s="50"/>
      <c r="K51" s="49"/>
      <c r="L51" s="48" t="str">
        <f>IF(AND(LEN(K51)&gt;0,D51="APPROVED"),VLOOKUP(Table5[[#This Row],[COMPLETION %]],COMPL_STATUS,2,1),"")</f>
        <v/>
      </c>
      <c r="M51" s="47"/>
      <c r="N51" s="47"/>
      <c r="O51" s="46"/>
    </row>
    <row r="52" spans="3:15" s="55" customFormat="1" ht="15">
      <c r="C52" s="54"/>
      <c r="D52" s="54"/>
      <c r="E52" s="53"/>
      <c r="F52" s="53"/>
      <c r="G52" s="52">
        <f>ROUND($C$16*Table5[[#This Row],[Hours]],2)</f>
        <v>0</v>
      </c>
      <c r="H52" s="47"/>
      <c r="I52" s="51"/>
      <c r="J52" s="50"/>
      <c r="K52" s="49"/>
      <c r="L52" s="48" t="str">
        <f>IF(AND(LEN(K52)&gt;0,D52="APPROVED"),VLOOKUP(Table5[[#This Row],[COMPLETION %]],COMPL_STATUS,2,1),"")</f>
        <v/>
      </c>
      <c r="M52" s="47"/>
      <c r="N52" s="47"/>
      <c r="O52" s="46"/>
    </row>
    <row r="53" spans="3:15" s="55" customFormat="1" ht="15">
      <c r="C53" s="54"/>
      <c r="D53" s="54"/>
      <c r="E53" s="53"/>
      <c r="F53" s="53"/>
      <c r="G53" s="52">
        <f>ROUND($C$16*Table5[[#This Row],[Hours]],2)</f>
        <v>0</v>
      </c>
      <c r="H53" s="47"/>
      <c r="I53" s="51"/>
      <c r="J53" s="50"/>
      <c r="K53" s="49"/>
      <c r="L53" s="48" t="str">
        <f>IF(AND(LEN(K53)&gt;0,D53="APPROVED"),VLOOKUP(Table5[[#This Row],[COMPLETION %]],COMPL_STATUS,2,1),"")</f>
        <v/>
      </c>
      <c r="M53" s="47"/>
      <c r="N53" s="47"/>
      <c r="O53" s="46"/>
    </row>
    <row r="54" spans="3:15" s="55" customFormat="1" ht="15">
      <c r="C54" s="54"/>
      <c r="D54" s="54"/>
      <c r="E54" s="53"/>
      <c r="F54" s="53"/>
      <c r="G54" s="52">
        <f>ROUND($C$16*Table5[[#This Row],[Hours]],2)</f>
        <v>0</v>
      </c>
      <c r="H54" s="47"/>
      <c r="I54" s="51"/>
      <c r="J54" s="50"/>
      <c r="K54" s="49"/>
      <c r="L54" s="48" t="str">
        <f>IF(AND(LEN(K54)&gt;0,D54="APPROVED"),VLOOKUP(Table5[[#This Row],[COMPLETION %]],COMPL_STATUS,2,1),"")</f>
        <v/>
      </c>
      <c r="M54" s="47"/>
      <c r="N54" s="47"/>
      <c r="O54" s="46"/>
    </row>
    <row r="55" spans="3:15" s="55" customFormat="1" ht="15">
      <c r="C55" s="54"/>
      <c r="D55" s="54"/>
      <c r="E55" s="53"/>
      <c r="F55" s="53"/>
      <c r="G55" s="52">
        <f>ROUND($C$16*Table5[[#This Row],[Hours]],2)</f>
        <v>0</v>
      </c>
      <c r="H55" s="47"/>
      <c r="I55" s="51"/>
      <c r="J55" s="50"/>
      <c r="K55" s="49"/>
      <c r="L55" s="48" t="str">
        <f>IF(AND(LEN(K55)&gt;0,D55="APPROVED"),VLOOKUP(Table5[[#This Row],[COMPLETION %]],COMPL_STATUS,2,1),"")</f>
        <v/>
      </c>
      <c r="M55" s="47"/>
      <c r="N55" s="47"/>
      <c r="O55" s="46"/>
    </row>
    <row r="56" spans="3:15" s="55" customFormat="1" ht="15">
      <c r="C56" s="54"/>
      <c r="D56" s="54"/>
      <c r="E56" s="53"/>
      <c r="F56" s="53"/>
      <c r="G56" s="52">
        <f>ROUND($C$16*Table5[[#This Row],[Hours]],2)</f>
        <v>0</v>
      </c>
      <c r="H56" s="47"/>
      <c r="I56" s="51"/>
      <c r="J56" s="50"/>
      <c r="K56" s="49"/>
      <c r="L56" s="48" t="str">
        <f>IF(AND(LEN(K56)&gt;0,D56="APPROVED"),VLOOKUP(Table5[[#This Row],[COMPLETION %]],COMPL_STATUS,2,1),"")</f>
        <v/>
      </c>
      <c r="M56" s="47"/>
      <c r="N56" s="47"/>
      <c r="O56" s="46"/>
    </row>
    <row r="57" spans="3:15" s="55" customFormat="1" ht="15">
      <c r="C57" s="54"/>
      <c r="D57" s="54"/>
      <c r="E57" s="53"/>
      <c r="F57" s="53"/>
      <c r="G57" s="52">
        <f>ROUND($C$16*Table5[[#This Row],[Hours]],2)</f>
        <v>0</v>
      </c>
      <c r="H57" s="47"/>
      <c r="I57" s="51"/>
      <c r="J57" s="50"/>
      <c r="K57" s="49"/>
      <c r="L57" s="48" t="str">
        <f>IF(AND(LEN(K57)&gt;0,D57="APPROVED"),VLOOKUP(Table5[[#This Row],[COMPLETION %]],COMPL_STATUS,2,1),"")</f>
        <v/>
      </c>
      <c r="M57" s="47"/>
      <c r="N57" s="47"/>
      <c r="O57" s="46"/>
    </row>
    <row r="58" spans="3:15" s="55" customFormat="1" ht="15">
      <c r="C58" s="54"/>
      <c r="D58" s="54"/>
      <c r="E58" s="53"/>
      <c r="F58" s="53"/>
      <c r="G58" s="52">
        <f>ROUND($C$16*Table5[[#This Row],[Hours]],2)</f>
        <v>0</v>
      </c>
      <c r="H58" s="47"/>
      <c r="I58" s="51"/>
      <c r="J58" s="50"/>
      <c r="K58" s="49"/>
      <c r="L58" s="48" t="str">
        <f>IF(AND(LEN(K58)&gt;0,D58="APPROVED"),VLOOKUP(Table5[[#This Row],[COMPLETION %]],COMPL_STATUS,2,1),"")</f>
        <v/>
      </c>
      <c r="M58" s="47"/>
      <c r="N58" s="47"/>
      <c r="O58" s="46"/>
    </row>
    <row r="59" spans="3:15" s="55" customFormat="1" ht="15">
      <c r="C59" s="54"/>
      <c r="D59" s="54"/>
      <c r="E59" s="53"/>
      <c r="F59" s="53"/>
      <c r="G59" s="52">
        <f>ROUND($C$16*Table5[[#This Row],[Hours]],2)</f>
        <v>0</v>
      </c>
      <c r="H59" s="47"/>
      <c r="I59" s="51"/>
      <c r="J59" s="50"/>
      <c r="K59" s="49"/>
      <c r="L59" s="48" t="str">
        <f>IF(AND(LEN(K59)&gt;0,D59="APPROVED"),VLOOKUP(Table5[[#This Row],[COMPLETION %]],COMPL_STATUS,2,1),"")</f>
        <v/>
      </c>
      <c r="M59" s="47"/>
      <c r="N59" s="47"/>
      <c r="O59" s="46"/>
    </row>
    <row r="60" spans="3:15" s="55" customFormat="1" ht="15">
      <c r="C60" s="54"/>
      <c r="D60" s="54"/>
      <c r="E60" s="53"/>
      <c r="F60" s="53"/>
      <c r="G60" s="52">
        <f>ROUND($C$16*Table5[[#This Row],[Hours]],2)</f>
        <v>0</v>
      </c>
      <c r="H60" s="47"/>
      <c r="I60" s="51"/>
      <c r="J60" s="50"/>
      <c r="K60" s="49"/>
      <c r="L60" s="48" t="str">
        <f>IF(AND(LEN(K60)&gt;0,D60="APPROVED"),VLOOKUP(Table5[[#This Row],[COMPLETION %]],COMPL_STATUS,2,1),"")</f>
        <v/>
      </c>
      <c r="M60" s="47"/>
      <c r="N60" s="47"/>
      <c r="O60" s="46"/>
    </row>
    <row r="61" spans="3:15" s="55" customFormat="1" ht="15">
      <c r="C61" s="54"/>
      <c r="D61" s="54"/>
      <c r="E61" s="53"/>
      <c r="F61" s="53"/>
      <c r="G61" s="52">
        <f>ROUND($C$16*Table5[[#This Row],[Hours]],2)</f>
        <v>0</v>
      </c>
      <c r="H61" s="47"/>
      <c r="I61" s="51"/>
      <c r="J61" s="50"/>
      <c r="K61" s="49"/>
      <c r="L61" s="48" t="str">
        <f>IF(AND(LEN(K61)&gt;0,D61="APPROVED"),VLOOKUP(Table5[[#This Row],[COMPLETION %]],COMPL_STATUS,2,1),"")</f>
        <v/>
      </c>
      <c r="M61" s="47"/>
      <c r="N61" s="47"/>
      <c r="O61" s="46"/>
    </row>
    <row r="62" spans="3:15" s="55" customFormat="1" ht="15">
      <c r="C62" s="54"/>
      <c r="D62" s="54"/>
      <c r="E62" s="53"/>
      <c r="F62" s="53"/>
      <c r="G62" s="52">
        <f>ROUND($C$16*Table5[[#This Row],[Hours]],2)</f>
        <v>0</v>
      </c>
      <c r="H62" s="47"/>
      <c r="I62" s="51"/>
      <c r="J62" s="50"/>
      <c r="K62" s="49"/>
      <c r="L62" s="48" t="str">
        <f>IF(AND(LEN(K62)&gt;0,D62="APPROVED"),VLOOKUP(Table5[[#This Row],[COMPLETION %]],COMPL_STATUS,2,1),"")</f>
        <v/>
      </c>
      <c r="M62" s="47"/>
      <c r="N62" s="47"/>
      <c r="O62" s="46"/>
    </row>
    <row r="63" spans="3:15" s="55" customFormat="1" ht="15">
      <c r="C63" s="54"/>
      <c r="D63" s="54"/>
      <c r="E63" s="53"/>
      <c r="F63" s="53"/>
      <c r="G63" s="52">
        <f>ROUND($C$16*Table5[[#This Row],[Hours]],2)</f>
        <v>0</v>
      </c>
      <c r="H63" s="47"/>
      <c r="I63" s="51"/>
      <c r="J63" s="50"/>
      <c r="K63" s="49"/>
      <c r="L63" s="48" t="str">
        <f>IF(AND(LEN(K63)&gt;0,D63="APPROVED"),VLOOKUP(Table5[[#This Row],[COMPLETION %]],COMPL_STATUS,2,1),"")</f>
        <v/>
      </c>
      <c r="M63" s="47"/>
      <c r="N63" s="47"/>
      <c r="O63" s="46"/>
    </row>
    <row r="64" spans="3:15" s="55" customFormat="1" ht="15">
      <c r="C64" s="54"/>
      <c r="D64" s="54"/>
      <c r="E64" s="53"/>
      <c r="F64" s="53"/>
      <c r="G64" s="52">
        <f>ROUND($C$16*Table5[[#This Row],[Hours]],2)</f>
        <v>0</v>
      </c>
      <c r="H64" s="47"/>
      <c r="I64" s="51"/>
      <c r="J64" s="50"/>
      <c r="K64" s="49"/>
      <c r="L64" s="48" t="str">
        <f>IF(AND(LEN(K64)&gt;0,D64="APPROVED"),VLOOKUP(Table5[[#This Row],[COMPLETION %]],COMPL_STATUS,2,1),"")</f>
        <v/>
      </c>
      <c r="M64" s="47"/>
      <c r="N64" s="47"/>
      <c r="O64" s="46"/>
    </row>
    <row r="65" spans="3:15" s="55" customFormat="1" ht="15">
      <c r="C65" s="54"/>
      <c r="D65" s="54"/>
      <c r="E65" s="53"/>
      <c r="F65" s="53"/>
      <c r="G65" s="52">
        <f>ROUND($C$16*Table5[[#This Row],[Hours]],2)</f>
        <v>0</v>
      </c>
      <c r="H65" s="47"/>
      <c r="I65" s="51"/>
      <c r="J65" s="50"/>
      <c r="K65" s="49"/>
      <c r="L65" s="48" t="str">
        <f>IF(AND(LEN(K65)&gt;0,D65="APPROVED"),VLOOKUP(Table5[[#This Row],[COMPLETION %]],COMPL_STATUS,2,1),"")</f>
        <v/>
      </c>
      <c r="M65" s="47"/>
      <c r="N65" s="47"/>
      <c r="O65" s="46"/>
    </row>
    <row r="66" spans="3:15" s="55" customFormat="1" ht="15">
      <c r="C66" s="54"/>
      <c r="D66" s="54"/>
      <c r="E66" s="53"/>
      <c r="F66" s="53"/>
      <c r="G66" s="52">
        <f>ROUND($C$16*Table5[[#This Row],[Hours]],2)</f>
        <v>0</v>
      </c>
      <c r="H66" s="47"/>
      <c r="I66" s="51"/>
      <c r="J66" s="50"/>
      <c r="K66" s="49"/>
      <c r="L66" s="48" t="str">
        <f>IF(AND(LEN(K66)&gt;0,D66="APPROVED"),VLOOKUP(Table5[[#This Row],[COMPLETION %]],COMPL_STATUS,2,1),"")</f>
        <v/>
      </c>
      <c r="M66" s="47"/>
      <c r="N66" s="47"/>
      <c r="O66" s="46"/>
    </row>
    <row r="67" spans="3:15" s="55" customFormat="1" ht="15">
      <c r="C67" s="54"/>
      <c r="D67" s="54"/>
      <c r="E67" s="53"/>
      <c r="F67" s="53"/>
      <c r="G67" s="52">
        <f>ROUND($C$16*Table5[[#This Row],[Hours]],2)</f>
        <v>0</v>
      </c>
      <c r="H67" s="47"/>
      <c r="I67" s="51"/>
      <c r="J67" s="50"/>
      <c r="K67" s="49"/>
      <c r="L67" s="48" t="str">
        <f>IF(AND(LEN(K67)&gt;0,D67="APPROVED"),VLOOKUP(Table5[[#This Row],[COMPLETION %]],COMPL_STATUS,2,1),"")</f>
        <v/>
      </c>
      <c r="M67" s="47"/>
      <c r="N67" s="47"/>
      <c r="O67" s="46"/>
    </row>
    <row r="68" spans="3:15" s="55" customFormat="1" ht="15">
      <c r="C68" s="54"/>
      <c r="D68" s="54"/>
      <c r="E68" s="53"/>
      <c r="F68" s="53"/>
      <c r="G68" s="52">
        <f>ROUND($C$16*Table5[[#This Row],[Hours]],2)</f>
        <v>0</v>
      </c>
      <c r="H68" s="47"/>
      <c r="I68" s="51"/>
      <c r="J68" s="50"/>
      <c r="K68" s="49"/>
      <c r="L68" s="48" t="str">
        <f>IF(AND(LEN(K68)&gt;0,D68="APPROVED"),VLOOKUP(Table5[[#This Row],[COMPLETION %]],COMPL_STATUS,2,1),"")</f>
        <v/>
      </c>
      <c r="M68" s="47"/>
      <c r="N68" s="47"/>
      <c r="O68" s="46"/>
    </row>
    <row r="69" spans="3:15" s="55" customFormat="1" ht="15">
      <c r="C69" s="54"/>
      <c r="D69" s="54"/>
      <c r="E69" s="53"/>
      <c r="F69" s="53"/>
      <c r="G69" s="52">
        <f>ROUND($C$16*Table5[[#This Row],[Hours]],2)</f>
        <v>0</v>
      </c>
      <c r="H69" s="47"/>
      <c r="I69" s="51"/>
      <c r="J69" s="50"/>
      <c r="K69" s="49"/>
      <c r="L69" s="48" t="str">
        <f>IF(AND(LEN(K69)&gt;0,D69="APPROVED"),VLOOKUP(Table5[[#This Row],[COMPLETION %]],COMPL_STATUS,2,1),"")</f>
        <v/>
      </c>
      <c r="M69" s="47"/>
      <c r="N69" s="47"/>
      <c r="O69" s="46"/>
    </row>
    <row r="70" spans="3:15" s="55" customFormat="1" ht="15">
      <c r="C70" s="54"/>
      <c r="D70" s="54"/>
      <c r="E70" s="53"/>
      <c r="F70" s="53"/>
      <c r="G70" s="52">
        <f>ROUND($C$16*Table5[[#This Row],[Hours]],2)</f>
        <v>0</v>
      </c>
      <c r="H70" s="47"/>
      <c r="I70" s="51"/>
      <c r="J70" s="50"/>
      <c r="K70" s="49"/>
      <c r="L70" s="48" t="str">
        <f>IF(AND(LEN(K70)&gt;0,D70="APPROVED"),VLOOKUP(Table5[[#This Row],[COMPLETION %]],COMPL_STATUS,2,1),"")</f>
        <v/>
      </c>
      <c r="M70" s="47"/>
      <c r="N70" s="47"/>
      <c r="O70" s="46"/>
    </row>
    <row r="71" spans="3:15" s="55" customFormat="1" ht="15">
      <c r="C71" s="54"/>
      <c r="D71" s="54"/>
      <c r="E71" s="53"/>
      <c r="F71" s="53"/>
      <c r="G71" s="52">
        <f>ROUND($C$16*Table5[[#This Row],[Hours]],2)</f>
        <v>0</v>
      </c>
      <c r="H71" s="47"/>
      <c r="I71" s="51"/>
      <c r="J71" s="50"/>
      <c r="K71" s="49"/>
      <c r="L71" s="48" t="str">
        <f>IF(AND(LEN(K71)&gt;0,D71="APPROVED"),VLOOKUP(Table5[[#This Row],[COMPLETION %]],COMPL_STATUS,2,1),"")</f>
        <v/>
      </c>
      <c r="M71" s="47"/>
      <c r="N71" s="47"/>
      <c r="O71" s="46"/>
    </row>
    <row r="72" spans="3:15" s="55" customFormat="1" ht="15">
      <c r="C72" s="54"/>
      <c r="D72" s="54"/>
      <c r="E72" s="53"/>
      <c r="F72" s="53"/>
      <c r="G72" s="52">
        <f>ROUND($C$16*Table5[[#This Row],[Hours]],2)</f>
        <v>0</v>
      </c>
      <c r="H72" s="47"/>
      <c r="I72" s="51"/>
      <c r="J72" s="50"/>
      <c r="K72" s="49"/>
      <c r="L72" s="48" t="str">
        <f>IF(AND(LEN(K72)&gt;0,D72="APPROVED"),VLOOKUP(Table5[[#This Row],[COMPLETION %]],COMPL_STATUS,2,1),"")</f>
        <v/>
      </c>
      <c r="M72" s="47"/>
      <c r="N72" s="47"/>
      <c r="O72" s="46"/>
    </row>
    <row r="73" spans="3:15" s="55" customFormat="1" ht="15">
      <c r="C73" s="54"/>
      <c r="D73" s="54"/>
      <c r="E73" s="53"/>
      <c r="F73" s="53"/>
      <c r="G73" s="52">
        <f>ROUND($C$16*Table5[[#This Row],[Hours]],2)</f>
        <v>0</v>
      </c>
      <c r="H73" s="47"/>
      <c r="I73" s="51"/>
      <c r="J73" s="50"/>
      <c r="K73" s="49"/>
      <c r="L73" s="48" t="str">
        <f>IF(AND(LEN(K73)&gt;0,D73="APPROVED"),VLOOKUP(Table5[[#This Row],[COMPLETION %]],COMPL_STATUS,2,1),"")</f>
        <v/>
      </c>
      <c r="M73" s="47"/>
      <c r="N73" s="47"/>
      <c r="O73" s="46"/>
    </row>
    <row r="74" spans="3:15" s="55" customFormat="1" ht="15">
      <c r="C74" s="54"/>
      <c r="D74" s="54"/>
      <c r="E74" s="53"/>
      <c r="F74" s="53"/>
      <c r="G74" s="52">
        <f>ROUND($C$16*Table5[[#This Row],[Hours]],2)</f>
        <v>0</v>
      </c>
      <c r="H74" s="47"/>
      <c r="I74" s="51"/>
      <c r="J74" s="50"/>
      <c r="K74" s="49"/>
      <c r="L74" s="48" t="str">
        <f>IF(AND(LEN(K74)&gt;0,D74="APPROVED"),VLOOKUP(Table5[[#This Row],[COMPLETION %]],COMPL_STATUS,2,1),"")</f>
        <v/>
      </c>
      <c r="M74" s="47"/>
      <c r="N74" s="47"/>
      <c r="O74" s="46"/>
    </row>
    <row r="75" spans="3:15" s="55" customFormat="1" ht="15">
      <c r="C75" s="54"/>
      <c r="D75" s="54"/>
      <c r="E75" s="53"/>
      <c r="F75" s="53"/>
      <c r="G75" s="52">
        <f>ROUND($C$16*Table5[[#This Row],[Hours]],2)</f>
        <v>0</v>
      </c>
      <c r="H75" s="47"/>
      <c r="I75" s="51"/>
      <c r="J75" s="50"/>
      <c r="K75" s="49"/>
      <c r="L75" s="48" t="str">
        <f>IF(AND(LEN(K75)&gt;0,D75="APPROVED"),VLOOKUP(Table5[[#This Row],[COMPLETION %]],COMPL_STATUS,2,1),"")</f>
        <v/>
      </c>
      <c r="M75" s="47"/>
      <c r="N75" s="47"/>
      <c r="O75" s="46"/>
    </row>
    <row r="76" spans="3:15" s="55" customFormat="1" ht="15">
      <c r="C76" s="54"/>
      <c r="D76" s="54"/>
      <c r="E76" s="53"/>
      <c r="F76" s="53"/>
      <c r="G76" s="52">
        <f>ROUND($C$16*Table5[[#This Row],[Hours]],2)</f>
        <v>0</v>
      </c>
      <c r="H76" s="47"/>
      <c r="I76" s="51"/>
      <c r="J76" s="50"/>
      <c r="K76" s="49"/>
      <c r="L76" s="48" t="str">
        <f>IF(AND(LEN(K76)&gt;0,D76="APPROVED"),VLOOKUP(Table5[[#This Row],[COMPLETION %]],COMPL_STATUS,2,1),"")</f>
        <v/>
      </c>
      <c r="M76" s="47"/>
      <c r="N76" s="47"/>
      <c r="O76" s="46"/>
    </row>
    <row r="77" spans="3:15" s="55" customFormat="1" ht="15">
      <c r="C77" s="54"/>
      <c r="D77" s="54"/>
      <c r="E77" s="53"/>
      <c r="F77" s="53"/>
      <c r="G77" s="52">
        <f>ROUND($C$16*Table5[[#This Row],[Hours]],2)</f>
        <v>0</v>
      </c>
      <c r="H77" s="47"/>
      <c r="I77" s="51"/>
      <c r="J77" s="50"/>
      <c r="K77" s="49"/>
      <c r="L77" s="48" t="str">
        <f>IF(AND(LEN(K77)&gt;0,D77="APPROVED"),VLOOKUP(Table5[[#This Row],[COMPLETION %]],COMPL_STATUS,2,1),"")</f>
        <v/>
      </c>
      <c r="M77" s="47"/>
      <c r="N77" s="47"/>
      <c r="O77" s="46"/>
    </row>
    <row r="78" spans="3:15" s="55" customFormat="1" ht="15">
      <c r="C78" s="54"/>
      <c r="D78" s="54"/>
      <c r="E78" s="53"/>
      <c r="F78" s="53"/>
      <c r="G78" s="52">
        <f>ROUND($C$16*Table5[[#This Row],[Hours]],2)</f>
        <v>0</v>
      </c>
      <c r="H78" s="47"/>
      <c r="I78" s="51"/>
      <c r="J78" s="50"/>
      <c r="K78" s="49"/>
      <c r="L78" s="48" t="str">
        <f>IF(AND(LEN(K78)&gt;0,D78="APPROVED"),VLOOKUP(Table5[[#This Row],[COMPLETION %]],COMPL_STATUS,2,1),"")</f>
        <v/>
      </c>
      <c r="M78" s="47"/>
      <c r="N78" s="47"/>
      <c r="O78" s="46"/>
    </row>
    <row r="79" spans="3:15" s="55" customFormat="1" ht="15">
      <c r="C79" s="54"/>
      <c r="D79" s="54"/>
      <c r="E79" s="53"/>
      <c r="F79" s="53"/>
      <c r="G79" s="52">
        <f>ROUND($C$16*Table5[[#This Row],[Hours]],2)</f>
        <v>0</v>
      </c>
      <c r="H79" s="47"/>
      <c r="I79" s="51"/>
      <c r="J79" s="50"/>
      <c r="K79" s="49"/>
      <c r="L79" s="48" t="str">
        <f>IF(AND(LEN(K79)&gt;0,D79="APPROVED"),VLOOKUP(Table5[[#This Row],[COMPLETION %]],COMPL_STATUS,2,1),"")</f>
        <v/>
      </c>
      <c r="M79" s="47"/>
      <c r="N79" s="47"/>
      <c r="O79" s="46"/>
    </row>
    <row r="80" spans="3:15" s="55" customFormat="1" ht="15">
      <c r="C80" s="54"/>
      <c r="D80" s="54"/>
      <c r="E80" s="53"/>
      <c r="F80" s="53"/>
      <c r="G80" s="52">
        <f>ROUND($C$16*Table5[[#This Row],[Hours]],2)</f>
        <v>0</v>
      </c>
      <c r="H80" s="47"/>
      <c r="I80" s="51"/>
      <c r="J80" s="50"/>
      <c r="K80" s="49"/>
      <c r="L80" s="48" t="str">
        <f>IF(AND(LEN(K80)&gt;0,D80="APPROVED"),VLOOKUP(Table5[[#This Row],[COMPLETION %]],COMPL_STATUS,2,1),"")</f>
        <v/>
      </c>
      <c r="M80" s="47"/>
      <c r="N80" s="47"/>
      <c r="O80" s="46"/>
    </row>
    <row r="81" spans="3:15" s="55" customFormat="1" ht="15">
      <c r="C81" s="54"/>
      <c r="D81" s="54"/>
      <c r="E81" s="53"/>
      <c r="F81" s="53"/>
      <c r="G81" s="52">
        <f>ROUND($C$16*Table5[[#This Row],[Hours]],2)</f>
        <v>0</v>
      </c>
      <c r="H81" s="47"/>
      <c r="I81" s="51"/>
      <c r="J81" s="50"/>
      <c r="K81" s="49"/>
      <c r="L81" s="48" t="str">
        <f>IF(AND(LEN(K81)&gt;0,D81="APPROVED"),VLOOKUP(Table5[[#This Row],[COMPLETION %]],COMPL_STATUS,2,1),"")</f>
        <v/>
      </c>
      <c r="M81" s="47"/>
      <c r="N81" s="47"/>
      <c r="O81" s="46"/>
    </row>
    <row r="82" spans="3:15" s="55" customFormat="1" ht="15">
      <c r="C82" s="54"/>
      <c r="D82" s="54"/>
      <c r="E82" s="53"/>
      <c r="F82" s="53"/>
      <c r="G82" s="52">
        <f>ROUND($C$16*Table5[[#This Row],[Hours]],2)</f>
        <v>0</v>
      </c>
      <c r="H82" s="47"/>
      <c r="I82" s="51"/>
      <c r="J82" s="50"/>
      <c r="K82" s="49"/>
      <c r="L82" s="48" t="str">
        <f>IF(AND(LEN(K82)&gt;0,D82="APPROVED"),VLOOKUP(Table5[[#This Row],[COMPLETION %]],COMPL_STATUS,2,1),"")</f>
        <v/>
      </c>
      <c r="M82" s="47"/>
      <c r="N82" s="47"/>
      <c r="O82" s="46"/>
    </row>
    <row r="83" spans="3:15" s="55" customFormat="1" ht="15">
      <c r="C83" s="54"/>
      <c r="D83" s="54"/>
      <c r="E83" s="53"/>
      <c r="F83" s="53"/>
      <c r="G83" s="52">
        <f>ROUND($C$16*Table5[[#This Row],[Hours]],2)</f>
        <v>0</v>
      </c>
      <c r="H83" s="47"/>
      <c r="I83" s="51"/>
      <c r="J83" s="50"/>
      <c r="K83" s="49"/>
      <c r="L83" s="48" t="str">
        <f>IF(AND(LEN(K83)&gt;0,D83="APPROVED"),VLOOKUP(Table5[[#This Row],[COMPLETION %]],COMPL_STATUS,2,1),"")</f>
        <v/>
      </c>
      <c r="M83" s="47"/>
      <c r="N83" s="47"/>
      <c r="O83" s="46"/>
    </row>
    <row r="84" spans="3:15" s="55" customFormat="1" ht="15">
      <c r="C84" s="54"/>
      <c r="D84" s="54"/>
      <c r="E84" s="53"/>
      <c r="F84" s="53"/>
      <c r="G84" s="52">
        <f>ROUND($C$16*Table5[[#This Row],[Hours]],2)</f>
        <v>0</v>
      </c>
      <c r="H84" s="47"/>
      <c r="I84" s="51"/>
      <c r="J84" s="50"/>
      <c r="K84" s="49"/>
      <c r="L84" s="48" t="str">
        <f>IF(AND(LEN(K84)&gt;0,D84="APPROVED"),VLOOKUP(Table5[[#This Row],[COMPLETION %]],COMPL_STATUS,2,1),"")</f>
        <v/>
      </c>
      <c r="M84" s="47"/>
      <c r="N84" s="47"/>
      <c r="O84" s="46"/>
    </row>
    <row r="85" spans="3:15" s="55" customFormat="1" ht="15">
      <c r="C85" s="54"/>
      <c r="D85" s="54"/>
      <c r="E85" s="53"/>
      <c r="F85" s="53"/>
      <c r="G85" s="52">
        <f>ROUND($C$16*Table5[[#This Row],[Hours]],2)</f>
        <v>0</v>
      </c>
      <c r="H85" s="47"/>
      <c r="I85" s="51"/>
      <c r="J85" s="50"/>
      <c r="K85" s="49"/>
      <c r="L85" s="48" t="str">
        <f>IF(AND(LEN(K85)&gt;0,D85="APPROVED"),VLOOKUP(Table5[[#This Row],[COMPLETION %]],COMPL_STATUS,2,1),"")</f>
        <v/>
      </c>
      <c r="M85" s="47"/>
      <c r="N85" s="47"/>
      <c r="O85" s="46"/>
    </row>
    <row r="86" spans="3:15" s="55" customFormat="1" ht="15">
      <c r="C86" s="54"/>
      <c r="D86" s="54"/>
      <c r="E86" s="53"/>
      <c r="F86" s="53"/>
      <c r="G86" s="52">
        <f>ROUND($C$16*Table5[[#This Row],[Hours]],2)</f>
        <v>0</v>
      </c>
      <c r="H86" s="47"/>
      <c r="I86" s="51"/>
      <c r="J86" s="50"/>
      <c r="K86" s="49"/>
      <c r="L86" s="48" t="str">
        <f>IF(AND(LEN(K86)&gt;0,D86="APPROVED"),VLOOKUP(Table5[[#This Row],[COMPLETION %]],COMPL_STATUS,2,1),"")</f>
        <v/>
      </c>
      <c r="M86" s="47"/>
      <c r="N86" s="47"/>
      <c r="O86" s="46"/>
    </row>
    <row r="87" spans="3:15" s="55" customFormat="1" ht="15">
      <c r="C87" s="54"/>
      <c r="D87" s="54"/>
      <c r="E87" s="53"/>
      <c r="F87" s="53"/>
      <c r="G87" s="52">
        <f>ROUND($C$16*Table5[[#This Row],[Hours]],2)</f>
        <v>0</v>
      </c>
      <c r="H87" s="47"/>
      <c r="I87" s="51"/>
      <c r="J87" s="50"/>
      <c r="K87" s="49"/>
      <c r="L87" s="48" t="str">
        <f>IF(AND(LEN(K87)&gt;0,D87="APPROVED"),VLOOKUP(Table5[[#This Row],[COMPLETION %]],COMPL_STATUS,2,1),"")</f>
        <v/>
      </c>
      <c r="M87" s="47"/>
      <c r="N87" s="47"/>
      <c r="O87" s="46"/>
    </row>
    <row r="88" spans="3:15" s="55" customFormat="1" ht="15">
      <c r="C88" s="54"/>
      <c r="D88" s="54"/>
      <c r="E88" s="53"/>
      <c r="F88" s="53"/>
      <c r="G88" s="52">
        <f>ROUND($C$16*Table5[[#This Row],[Hours]],2)</f>
        <v>0</v>
      </c>
      <c r="H88" s="47"/>
      <c r="I88" s="51"/>
      <c r="J88" s="50"/>
      <c r="K88" s="49"/>
      <c r="L88" s="48" t="str">
        <f>IF(AND(LEN(K88)&gt;0,D88="APPROVED"),VLOOKUP(Table5[[#This Row],[COMPLETION %]],COMPL_STATUS,2,1),"")</f>
        <v/>
      </c>
      <c r="M88" s="47"/>
      <c r="N88" s="47"/>
      <c r="O88" s="46"/>
    </row>
    <row r="89" spans="3:15" s="55" customFormat="1" ht="15">
      <c r="C89" s="54"/>
      <c r="D89" s="54"/>
      <c r="E89" s="53"/>
      <c r="F89" s="53"/>
      <c r="G89" s="52">
        <f>ROUND($C$16*Table5[[#This Row],[Hours]],2)</f>
        <v>0</v>
      </c>
      <c r="H89" s="47"/>
      <c r="I89" s="51"/>
      <c r="J89" s="50"/>
      <c r="K89" s="49"/>
      <c r="L89" s="48" t="str">
        <f>IF(AND(LEN(K89)&gt;0,D89="APPROVED"),VLOOKUP(Table5[[#This Row],[COMPLETION %]],COMPL_STATUS,2,1),"")</f>
        <v/>
      </c>
      <c r="M89" s="47"/>
      <c r="N89" s="47"/>
      <c r="O89" s="46"/>
    </row>
    <row r="90" spans="3:15" s="55" customFormat="1" ht="15">
      <c r="C90" s="54"/>
      <c r="D90" s="54"/>
      <c r="E90" s="53"/>
      <c r="F90" s="53"/>
      <c r="G90" s="52">
        <f>ROUND($C$16*Table5[[#This Row],[Hours]],2)</f>
        <v>0</v>
      </c>
      <c r="H90" s="47"/>
      <c r="I90" s="51"/>
      <c r="J90" s="50"/>
      <c r="K90" s="49"/>
      <c r="L90" s="48" t="str">
        <f>IF(AND(LEN(K90)&gt;0,D90="APPROVED"),VLOOKUP(Table5[[#This Row],[COMPLETION %]],COMPL_STATUS,2,1),"")</f>
        <v/>
      </c>
      <c r="M90" s="47"/>
      <c r="N90" s="47"/>
      <c r="O90" s="46"/>
    </row>
    <row r="91" spans="3:15" s="55" customFormat="1" ht="15">
      <c r="C91" s="54"/>
      <c r="D91" s="54"/>
      <c r="E91" s="53"/>
      <c r="F91" s="53"/>
      <c r="G91" s="52">
        <f>ROUND($C$16*Table5[[#This Row],[Hours]],2)</f>
        <v>0</v>
      </c>
      <c r="H91" s="47"/>
      <c r="I91" s="51"/>
      <c r="J91" s="50"/>
      <c r="K91" s="49"/>
      <c r="L91" s="48" t="str">
        <f>IF(AND(LEN(K91)&gt;0,D91="APPROVED"),VLOOKUP(Table5[[#This Row],[COMPLETION %]],COMPL_STATUS,2,1),"")</f>
        <v/>
      </c>
      <c r="M91" s="47"/>
      <c r="N91" s="47"/>
      <c r="O91" s="46"/>
    </row>
    <row r="92" spans="3:15" s="55" customFormat="1" ht="15">
      <c r="C92" s="54"/>
      <c r="D92" s="54"/>
      <c r="E92" s="53"/>
      <c r="F92" s="53"/>
      <c r="G92" s="52">
        <f>ROUND($C$16*Table5[[#This Row],[Hours]],2)</f>
        <v>0</v>
      </c>
      <c r="H92" s="47"/>
      <c r="I92" s="51"/>
      <c r="J92" s="50"/>
      <c r="K92" s="49"/>
      <c r="L92" s="48" t="str">
        <f>IF(AND(LEN(K92)&gt;0,D92="APPROVED"),VLOOKUP(Table5[[#This Row],[COMPLETION %]],COMPL_STATUS,2,1),"")</f>
        <v/>
      </c>
      <c r="M92" s="47"/>
      <c r="N92" s="47"/>
      <c r="O92" s="46"/>
    </row>
    <row r="93" spans="3:15" s="55" customFormat="1" ht="15">
      <c r="C93" s="54"/>
      <c r="D93" s="54"/>
      <c r="E93" s="53"/>
      <c r="F93" s="53"/>
      <c r="G93" s="52">
        <f>ROUND($C$16*Table5[[#This Row],[Hours]],2)</f>
        <v>0</v>
      </c>
      <c r="H93" s="47"/>
      <c r="I93" s="51"/>
      <c r="J93" s="50"/>
      <c r="K93" s="49"/>
      <c r="L93" s="48" t="str">
        <f>IF(AND(LEN(K93)&gt;0,D93="APPROVED"),VLOOKUP(Table5[[#This Row],[COMPLETION %]],COMPL_STATUS,2,1),"")</f>
        <v/>
      </c>
      <c r="M93" s="47"/>
      <c r="N93" s="47"/>
      <c r="O93" s="46"/>
    </row>
    <row r="94" spans="3:15" s="55" customFormat="1" ht="15">
      <c r="C94" s="54"/>
      <c r="D94" s="54"/>
      <c r="E94" s="53"/>
      <c r="F94" s="53"/>
      <c r="G94" s="52">
        <f>ROUND($C$16*Table5[[#This Row],[Hours]],2)</f>
        <v>0</v>
      </c>
      <c r="H94" s="47"/>
      <c r="I94" s="51"/>
      <c r="J94" s="50"/>
      <c r="K94" s="49"/>
      <c r="L94" s="48" t="str">
        <f>IF(AND(LEN(K94)&gt;0,D94="APPROVED"),VLOOKUP(Table5[[#This Row],[COMPLETION %]],COMPL_STATUS,2,1),"")</f>
        <v/>
      </c>
      <c r="M94" s="47"/>
      <c r="N94" s="47"/>
      <c r="O94" s="46"/>
    </row>
    <row r="95" spans="3:15" s="55" customFormat="1" ht="15">
      <c r="C95" s="54"/>
      <c r="D95" s="54"/>
      <c r="E95" s="53"/>
      <c r="F95" s="53"/>
      <c r="G95" s="52">
        <f>ROUND($C$16*Table5[[#This Row],[Hours]],2)</f>
        <v>0</v>
      </c>
      <c r="H95" s="47"/>
      <c r="I95" s="51"/>
      <c r="J95" s="50"/>
      <c r="K95" s="49"/>
      <c r="L95" s="48" t="str">
        <f>IF(AND(LEN(K95)&gt;0,D95="APPROVED"),VLOOKUP(Table5[[#This Row],[COMPLETION %]],COMPL_STATUS,2,1),"")</f>
        <v/>
      </c>
      <c r="M95" s="47"/>
      <c r="N95" s="47"/>
      <c r="O95" s="46"/>
    </row>
    <row r="96" spans="3:15" s="55" customFormat="1" ht="15">
      <c r="C96" s="54"/>
      <c r="D96" s="54"/>
      <c r="E96" s="53"/>
      <c r="F96" s="53"/>
      <c r="G96" s="52">
        <f>ROUND($C$16*Table5[[#This Row],[Hours]],2)</f>
        <v>0</v>
      </c>
      <c r="H96" s="47"/>
      <c r="I96" s="51"/>
      <c r="J96" s="50"/>
      <c r="K96" s="49"/>
      <c r="L96" s="48" t="str">
        <f>IF(AND(LEN(K96)&gt;0,D96="APPROVED"),VLOOKUP(Table5[[#This Row],[COMPLETION %]],COMPL_STATUS,2,1),"")</f>
        <v/>
      </c>
      <c r="M96" s="47"/>
      <c r="N96" s="47"/>
      <c r="O96" s="46"/>
    </row>
    <row r="97" spans="3:15" s="55" customFormat="1" ht="15">
      <c r="C97" s="54"/>
      <c r="D97" s="54"/>
      <c r="E97" s="53"/>
      <c r="F97" s="53"/>
      <c r="G97" s="52">
        <f>ROUND($C$16*Table5[[#This Row],[Hours]],2)</f>
        <v>0</v>
      </c>
      <c r="H97" s="47"/>
      <c r="I97" s="51"/>
      <c r="J97" s="50"/>
      <c r="K97" s="49"/>
      <c r="L97" s="48" t="str">
        <f>IF(AND(LEN(K97)&gt;0,D97="APPROVED"),VLOOKUP(Table5[[#This Row],[COMPLETION %]],COMPL_STATUS,2,1),"")</f>
        <v/>
      </c>
      <c r="M97" s="47"/>
      <c r="N97" s="47"/>
      <c r="O97" s="46"/>
    </row>
    <row r="98" spans="3:15" s="55" customFormat="1" ht="15">
      <c r="C98" s="54"/>
      <c r="D98" s="54"/>
      <c r="E98" s="53"/>
      <c r="F98" s="53"/>
      <c r="G98" s="52">
        <f>ROUND($C$16*Table5[[#This Row],[Hours]],2)</f>
        <v>0</v>
      </c>
      <c r="H98" s="47"/>
      <c r="I98" s="51"/>
      <c r="J98" s="50"/>
      <c r="K98" s="49"/>
      <c r="L98" s="48" t="str">
        <f>IF(AND(LEN(K98)&gt;0,D98="APPROVED"),VLOOKUP(Table5[[#This Row],[COMPLETION %]],COMPL_STATUS,2,1),"")</f>
        <v/>
      </c>
      <c r="M98" s="47"/>
      <c r="N98" s="47"/>
      <c r="O98" s="46"/>
    </row>
    <row r="99" spans="3:15" s="55" customFormat="1" ht="15">
      <c r="C99" s="54"/>
      <c r="D99" s="54"/>
      <c r="E99" s="53"/>
      <c r="F99" s="53"/>
      <c r="G99" s="52">
        <f>ROUND($C$16*Table5[[#This Row],[Hours]],2)</f>
        <v>0</v>
      </c>
      <c r="H99" s="47"/>
      <c r="I99" s="51"/>
      <c r="J99" s="50"/>
      <c r="K99" s="49"/>
      <c r="L99" s="48" t="str">
        <f>IF(AND(LEN(K99)&gt;0,D99="APPROVED"),VLOOKUP(Table5[[#This Row],[COMPLETION %]],COMPL_STATUS,2,1),"")</f>
        <v/>
      </c>
      <c r="M99" s="47"/>
      <c r="N99" s="47"/>
      <c r="O99" s="46"/>
    </row>
    <row r="100" spans="3:15" s="55" customFormat="1" ht="15">
      <c r="C100" s="54"/>
      <c r="D100" s="54"/>
      <c r="E100" s="53"/>
      <c r="F100" s="53"/>
      <c r="G100" s="52">
        <f>ROUND($C$16*Table5[[#This Row],[Hours]],2)</f>
        <v>0</v>
      </c>
      <c r="H100" s="47"/>
      <c r="I100" s="51"/>
      <c r="J100" s="50"/>
      <c r="K100" s="49"/>
      <c r="L100" s="48" t="str">
        <f>IF(AND(LEN(K100)&gt;0,D100="APPROVED"),VLOOKUP(Table5[[#This Row],[COMPLETION %]],COMPL_STATUS,2,1),"")</f>
        <v/>
      </c>
      <c r="M100" s="47"/>
      <c r="N100" s="47"/>
      <c r="O100" s="46"/>
    </row>
    <row r="101" spans="3:15" s="55" customFormat="1" ht="15">
      <c r="C101" s="54"/>
      <c r="D101" s="54"/>
      <c r="E101" s="53"/>
      <c r="F101" s="53"/>
      <c r="G101" s="52">
        <f>ROUND($C$16*Table5[[#This Row],[Hours]],2)</f>
        <v>0</v>
      </c>
      <c r="H101" s="47"/>
      <c r="I101" s="51"/>
      <c r="J101" s="50"/>
      <c r="K101" s="49"/>
      <c r="L101" s="48" t="str">
        <f>IF(AND(LEN(K101)&gt;0,D101="APPROVED"),VLOOKUP(Table5[[#This Row],[COMPLETION %]],COMPL_STATUS,2,1),"")</f>
        <v/>
      </c>
      <c r="M101" s="47"/>
      <c r="N101" s="47"/>
      <c r="O101" s="46"/>
    </row>
    <row r="102" spans="3:15" s="55" customFormat="1" ht="15">
      <c r="C102" s="54"/>
      <c r="D102" s="54"/>
      <c r="E102" s="53"/>
      <c r="F102" s="53"/>
      <c r="G102" s="52">
        <f>ROUND($C$16*Table5[[#This Row],[Hours]],2)</f>
        <v>0</v>
      </c>
      <c r="H102" s="47"/>
      <c r="I102" s="51"/>
      <c r="J102" s="50"/>
      <c r="K102" s="49"/>
      <c r="L102" s="48" t="str">
        <f>IF(AND(LEN(K102)&gt;0,D102="APPROVED"),VLOOKUP(Table5[[#This Row],[COMPLETION %]],COMPL_STATUS,2,1),"")</f>
        <v/>
      </c>
      <c r="M102" s="47"/>
      <c r="N102" s="47"/>
      <c r="O102" s="46"/>
    </row>
    <row r="103" spans="3:15" s="55" customFormat="1" ht="15">
      <c r="C103" s="54"/>
      <c r="D103" s="54"/>
      <c r="E103" s="53"/>
      <c r="F103" s="53"/>
      <c r="G103" s="52">
        <f>ROUND($C$16*Table5[[#This Row],[Hours]],2)</f>
        <v>0</v>
      </c>
      <c r="H103" s="47"/>
      <c r="I103" s="51"/>
      <c r="J103" s="50"/>
      <c r="K103" s="49"/>
      <c r="L103" s="48" t="str">
        <f>IF(AND(LEN(K103)&gt;0,D103="APPROVED"),VLOOKUP(Table5[[#This Row],[COMPLETION %]],COMPL_STATUS,2,1),"")</f>
        <v/>
      </c>
      <c r="M103" s="47"/>
      <c r="N103" s="47"/>
      <c r="O103" s="46"/>
    </row>
    <row r="104" spans="3:15" s="55" customFormat="1" ht="15">
      <c r="C104" s="54"/>
      <c r="D104" s="54"/>
      <c r="E104" s="53"/>
      <c r="F104" s="53"/>
      <c r="G104" s="52">
        <f>ROUND($C$16*Table5[[#This Row],[Hours]],2)</f>
        <v>0</v>
      </c>
      <c r="H104" s="47"/>
      <c r="I104" s="51"/>
      <c r="J104" s="50"/>
      <c r="K104" s="49"/>
      <c r="L104" s="48" t="str">
        <f>IF(AND(LEN(K104)&gt;0,D104="APPROVED"),VLOOKUP(Table5[[#This Row],[COMPLETION %]],COMPL_STATUS,2,1),"")</f>
        <v/>
      </c>
      <c r="M104" s="47"/>
      <c r="N104" s="47"/>
      <c r="O104" s="46"/>
    </row>
    <row r="105" spans="3:15" s="55" customFormat="1" ht="15">
      <c r="C105" s="54"/>
      <c r="D105" s="54"/>
      <c r="E105" s="53"/>
      <c r="F105" s="53"/>
      <c r="G105" s="52">
        <f>ROUND($C$16*Table5[[#This Row],[Hours]],2)</f>
        <v>0</v>
      </c>
      <c r="H105" s="47"/>
      <c r="I105" s="51"/>
      <c r="J105" s="50"/>
      <c r="K105" s="49"/>
      <c r="L105" s="48" t="str">
        <f>IF(AND(LEN(K105)&gt;0,D105="APPROVED"),VLOOKUP(Table5[[#This Row],[COMPLETION %]],COMPL_STATUS,2,1),"")</f>
        <v/>
      </c>
      <c r="M105" s="47"/>
      <c r="N105" s="47"/>
      <c r="O105" s="46"/>
    </row>
    <row r="106" spans="3:15" s="55" customFormat="1" ht="15">
      <c r="C106" s="54"/>
      <c r="D106" s="54"/>
      <c r="E106" s="53"/>
      <c r="F106" s="53"/>
      <c r="G106" s="52">
        <f>ROUND($C$16*Table5[[#This Row],[Hours]],2)</f>
        <v>0</v>
      </c>
      <c r="H106" s="47"/>
      <c r="I106" s="51"/>
      <c r="J106" s="50"/>
      <c r="K106" s="49"/>
      <c r="L106" s="48" t="str">
        <f>IF(AND(LEN(K106)&gt;0,D106="APPROVED"),VLOOKUP(Table5[[#This Row],[COMPLETION %]],COMPL_STATUS,2,1),"")</f>
        <v/>
      </c>
      <c r="M106" s="47"/>
      <c r="N106" s="47"/>
      <c r="O106" s="46"/>
    </row>
    <row r="107" spans="3:15" s="55" customFormat="1" ht="15">
      <c r="C107" s="54"/>
      <c r="D107" s="54"/>
      <c r="E107" s="53"/>
      <c r="F107" s="53"/>
      <c r="G107" s="52">
        <f>ROUND($C$16*Table5[[#This Row],[Hours]],2)</f>
        <v>0</v>
      </c>
      <c r="H107" s="47"/>
      <c r="I107" s="51"/>
      <c r="J107" s="50"/>
      <c r="K107" s="49"/>
      <c r="L107" s="48" t="str">
        <f>IF(AND(LEN(K107)&gt;0,D107="APPROVED"),VLOOKUP(Table5[[#This Row],[COMPLETION %]],COMPL_STATUS,2,1),"")</f>
        <v/>
      </c>
      <c r="M107" s="47"/>
      <c r="N107" s="47"/>
      <c r="O107" s="46"/>
    </row>
    <row r="108" spans="3:15" s="55" customFormat="1" ht="15">
      <c r="C108" s="54"/>
      <c r="D108" s="54"/>
      <c r="E108" s="53"/>
      <c r="F108" s="53"/>
      <c r="G108" s="52">
        <f>ROUND($C$16*Table5[[#This Row],[Hours]],2)</f>
        <v>0</v>
      </c>
      <c r="H108" s="47"/>
      <c r="I108" s="51"/>
      <c r="J108" s="50"/>
      <c r="K108" s="49"/>
      <c r="L108" s="48" t="str">
        <f>IF(AND(LEN(K108)&gt;0,D108="APPROVED"),VLOOKUP(Table5[[#This Row],[COMPLETION %]],COMPL_STATUS,2,1),"")</f>
        <v/>
      </c>
      <c r="M108" s="47"/>
      <c r="N108" s="47"/>
      <c r="O108" s="46"/>
    </row>
    <row r="109" spans="3:15" s="55" customFormat="1" ht="15">
      <c r="C109" s="54"/>
      <c r="D109" s="54"/>
      <c r="E109" s="53"/>
      <c r="F109" s="53"/>
      <c r="G109" s="52">
        <f>ROUND($C$16*Table5[[#This Row],[Hours]],2)</f>
        <v>0</v>
      </c>
      <c r="H109" s="47"/>
      <c r="I109" s="51"/>
      <c r="J109" s="50"/>
      <c r="K109" s="49"/>
      <c r="L109" s="48" t="str">
        <f>IF(AND(LEN(K109)&gt;0,D109="APPROVED"),VLOOKUP(Table5[[#This Row],[COMPLETION %]],COMPL_STATUS,2,1),"")</f>
        <v/>
      </c>
      <c r="M109" s="47"/>
      <c r="N109" s="47"/>
      <c r="O109" s="46"/>
    </row>
    <row r="110" spans="3:15" s="55" customFormat="1" ht="15">
      <c r="C110" s="54"/>
      <c r="D110" s="54"/>
      <c r="E110" s="53"/>
      <c r="F110" s="53"/>
      <c r="G110" s="52">
        <f>ROUND($C$16*Table5[[#This Row],[Hours]],2)</f>
        <v>0</v>
      </c>
      <c r="H110" s="47"/>
      <c r="I110" s="51"/>
      <c r="J110" s="50"/>
      <c r="K110" s="49"/>
      <c r="L110" s="48" t="str">
        <f>IF(AND(LEN(K110)&gt;0,D110="APPROVED"),VLOOKUP(Table5[[#This Row],[COMPLETION %]],COMPL_STATUS,2,1),"")</f>
        <v/>
      </c>
      <c r="M110" s="47"/>
      <c r="N110" s="47"/>
      <c r="O110" s="46"/>
    </row>
    <row r="111" spans="3:15" s="55" customFormat="1" ht="15">
      <c r="C111" s="54"/>
      <c r="D111" s="54"/>
      <c r="E111" s="53"/>
      <c r="F111" s="53"/>
      <c r="G111" s="52">
        <f>ROUND($C$16*Table5[[#This Row],[Hours]],2)</f>
        <v>0</v>
      </c>
      <c r="H111" s="47"/>
      <c r="I111" s="51"/>
      <c r="J111" s="50"/>
      <c r="K111" s="49"/>
      <c r="L111" s="48" t="str">
        <f>IF(AND(LEN(K111)&gt;0,D111="APPROVED"),VLOOKUP(Table5[[#This Row],[COMPLETION %]],COMPL_STATUS,2,1),"")</f>
        <v/>
      </c>
      <c r="M111" s="47"/>
      <c r="N111" s="47"/>
      <c r="O111" s="46"/>
    </row>
    <row r="112" spans="3:15" s="55" customFormat="1" ht="15">
      <c r="C112" s="54"/>
      <c r="D112" s="54"/>
      <c r="E112" s="53"/>
      <c r="F112" s="53"/>
      <c r="G112" s="52">
        <f>ROUND($C$16*Table5[[#This Row],[Hours]],2)</f>
        <v>0</v>
      </c>
      <c r="H112" s="47"/>
      <c r="I112" s="51"/>
      <c r="J112" s="50"/>
      <c r="K112" s="49"/>
      <c r="L112" s="48" t="str">
        <f>IF(AND(LEN(K112)&gt;0,D112="APPROVED"),VLOOKUP(Table5[[#This Row],[COMPLETION %]],COMPL_STATUS,2,1),"")</f>
        <v/>
      </c>
      <c r="M112" s="47"/>
      <c r="N112" s="47"/>
      <c r="O112" s="46"/>
    </row>
    <row r="113" spans="3:15" s="55" customFormat="1" ht="15">
      <c r="C113" s="54"/>
      <c r="D113" s="54"/>
      <c r="E113" s="53"/>
      <c r="F113" s="53"/>
      <c r="G113" s="52">
        <f>ROUND($C$16*Table5[[#This Row],[Hours]],2)</f>
        <v>0</v>
      </c>
      <c r="H113" s="47"/>
      <c r="I113" s="51"/>
      <c r="J113" s="50"/>
      <c r="K113" s="49"/>
      <c r="L113" s="48" t="str">
        <f>IF(AND(LEN(K113)&gt;0,D113="APPROVED"),VLOOKUP(Table5[[#This Row],[COMPLETION %]],COMPL_STATUS,2,1),"")</f>
        <v/>
      </c>
      <c r="M113" s="47"/>
      <c r="N113" s="47"/>
      <c r="O113" s="46"/>
    </row>
    <row r="114" spans="3:15" s="55" customFormat="1" ht="15">
      <c r="C114" s="54"/>
      <c r="D114" s="54"/>
      <c r="E114" s="53"/>
      <c r="F114" s="53"/>
      <c r="G114" s="52">
        <f>ROUND($C$16*Table5[[#This Row],[Hours]],2)</f>
        <v>0</v>
      </c>
      <c r="H114" s="47"/>
      <c r="I114" s="51"/>
      <c r="J114" s="50"/>
      <c r="K114" s="49"/>
      <c r="L114" s="48" t="str">
        <f>IF(AND(LEN(K114)&gt;0,D114="APPROVED"),VLOOKUP(Table5[[#This Row],[COMPLETION %]],COMPL_STATUS,2,1),"")</f>
        <v/>
      </c>
      <c r="M114" s="47"/>
      <c r="N114" s="47"/>
      <c r="O114" s="46"/>
    </row>
    <row r="115" spans="3:15" s="55" customFormat="1" ht="15">
      <c r="C115" s="54"/>
      <c r="D115" s="54"/>
      <c r="E115" s="53"/>
      <c r="F115" s="53"/>
      <c r="G115" s="52">
        <f>ROUND($C$16*Table5[[#This Row],[Hours]],2)</f>
        <v>0</v>
      </c>
      <c r="H115" s="47"/>
      <c r="I115" s="51"/>
      <c r="J115" s="50"/>
      <c r="K115" s="49"/>
      <c r="L115" s="48" t="str">
        <f>IF(AND(LEN(K115)&gt;0,D115="APPROVED"),VLOOKUP(Table5[[#This Row],[COMPLETION %]],COMPL_STATUS,2,1),"")</f>
        <v/>
      </c>
      <c r="M115" s="47"/>
      <c r="N115" s="47"/>
      <c r="O115" s="46"/>
    </row>
    <row r="116" spans="3:15" s="55" customFormat="1" ht="15">
      <c r="C116" s="54"/>
      <c r="D116" s="54"/>
      <c r="E116" s="53"/>
      <c r="F116" s="53"/>
      <c r="G116" s="52">
        <f>ROUND($C$16*Table5[[#This Row],[Hours]],2)</f>
        <v>0</v>
      </c>
      <c r="H116" s="47"/>
      <c r="I116" s="51"/>
      <c r="J116" s="50"/>
      <c r="K116" s="49"/>
      <c r="L116" s="48" t="str">
        <f>IF(AND(LEN(K116)&gt;0,D116="APPROVED"),VLOOKUP(Table5[[#This Row],[COMPLETION %]],COMPL_STATUS,2,1),"")</f>
        <v/>
      </c>
      <c r="M116" s="47"/>
      <c r="N116" s="47"/>
      <c r="O116" s="46"/>
    </row>
    <row r="117" spans="3:15" s="55" customFormat="1" ht="15">
      <c r="C117" s="54"/>
      <c r="D117" s="54"/>
      <c r="E117" s="53"/>
      <c r="F117" s="53"/>
      <c r="G117" s="52">
        <f>ROUND($C$16*Table5[[#This Row],[Hours]],2)</f>
        <v>0</v>
      </c>
      <c r="H117" s="47"/>
      <c r="I117" s="51"/>
      <c r="J117" s="50"/>
      <c r="K117" s="49"/>
      <c r="L117" s="48" t="str">
        <f>IF(AND(LEN(K117)&gt;0,D117="APPROVED"),VLOOKUP(Table5[[#This Row],[COMPLETION %]],COMPL_STATUS,2,1),"")</f>
        <v/>
      </c>
      <c r="M117" s="47"/>
      <c r="N117" s="47"/>
      <c r="O117" s="46"/>
    </row>
    <row r="118" spans="3:15" s="55" customFormat="1" ht="15">
      <c r="C118" s="54"/>
      <c r="D118" s="54"/>
      <c r="E118" s="53"/>
      <c r="F118" s="53"/>
      <c r="G118" s="52">
        <f>ROUND($C$16*Table5[[#This Row],[Hours]],2)</f>
        <v>0</v>
      </c>
      <c r="H118" s="47"/>
      <c r="I118" s="51"/>
      <c r="J118" s="50"/>
      <c r="K118" s="49"/>
      <c r="L118" s="48" t="str">
        <f>IF(AND(LEN(K118)&gt;0,D118="APPROVED"),VLOOKUP(Table5[[#This Row],[COMPLETION %]],COMPL_STATUS,2,1),"")</f>
        <v/>
      </c>
      <c r="M118" s="47"/>
      <c r="N118" s="47"/>
      <c r="O118" s="46"/>
    </row>
    <row r="119" spans="3:15" s="55" customFormat="1" ht="15">
      <c r="C119" s="54"/>
      <c r="D119" s="54"/>
      <c r="E119" s="53"/>
      <c r="F119" s="53"/>
      <c r="G119" s="52">
        <f>ROUND($C$16*Table5[[#This Row],[Hours]],2)</f>
        <v>0</v>
      </c>
      <c r="H119" s="47"/>
      <c r="I119" s="51"/>
      <c r="J119" s="50"/>
      <c r="K119" s="49"/>
      <c r="L119" s="48" t="str">
        <f>IF(AND(LEN(K119)&gt;0,D119="APPROVED"),VLOOKUP(Table5[[#This Row],[COMPLETION %]],COMPL_STATUS,2,1),"")</f>
        <v/>
      </c>
      <c r="M119" s="47"/>
      <c r="N119" s="47"/>
      <c r="O119" s="46"/>
    </row>
    <row r="120" spans="3:15" s="55" customFormat="1" ht="15">
      <c r="C120" s="54"/>
      <c r="D120" s="54"/>
      <c r="E120" s="53"/>
      <c r="F120" s="53"/>
      <c r="G120" s="52">
        <f>ROUND($C$16*Table5[[#This Row],[Hours]],2)</f>
        <v>0</v>
      </c>
      <c r="H120" s="47"/>
      <c r="I120" s="51"/>
      <c r="J120" s="50"/>
      <c r="K120" s="49"/>
      <c r="L120" s="48" t="str">
        <f>IF(AND(LEN(K120)&gt;0,D120="APPROVED"),VLOOKUP(Table5[[#This Row],[COMPLETION %]],COMPL_STATUS,2,1),"")</f>
        <v/>
      </c>
      <c r="M120" s="47"/>
      <c r="N120" s="47"/>
      <c r="O120" s="46"/>
    </row>
    <row r="121" spans="3:15" s="55" customFormat="1" ht="15">
      <c r="C121" s="54"/>
      <c r="D121" s="54"/>
      <c r="E121" s="53"/>
      <c r="F121" s="53"/>
      <c r="G121" s="52">
        <f>ROUND($C$16*Table5[[#This Row],[Hours]],2)</f>
        <v>0</v>
      </c>
      <c r="H121" s="47"/>
      <c r="I121" s="51"/>
      <c r="J121" s="50"/>
      <c r="K121" s="49"/>
      <c r="L121" s="48" t="str">
        <f>IF(AND(LEN(K121)&gt;0,D121="APPROVED"),VLOOKUP(Table5[[#This Row],[COMPLETION %]],COMPL_STATUS,2,1),"")</f>
        <v/>
      </c>
      <c r="M121" s="47"/>
      <c r="N121" s="47"/>
      <c r="O121" s="46"/>
    </row>
    <row r="122" spans="3:15" s="55" customFormat="1" ht="15">
      <c r="C122" s="54"/>
      <c r="D122" s="54"/>
      <c r="E122" s="53"/>
      <c r="F122" s="53"/>
      <c r="G122" s="52">
        <f>ROUND($C$16*Table5[[#This Row],[Hours]],2)</f>
        <v>0</v>
      </c>
      <c r="H122" s="47"/>
      <c r="I122" s="51"/>
      <c r="J122" s="50"/>
      <c r="K122" s="49"/>
      <c r="L122" s="48" t="str">
        <f>IF(AND(LEN(K122)&gt;0,D122="APPROVED"),VLOOKUP(Table5[[#This Row],[COMPLETION %]],COMPL_STATUS,2,1),"")</f>
        <v/>
      </c>
      <c r="M122" s="47"/>
      <c r="N122" s="47"/>
      <c r="O122" s="46"/>
    </row>
    <row r="123" spans="3:15" s="55" customFormat="1" ht="15">
      <c r="C123" s="54"/>
      <c r="D123" s="54"/>
      <c r="E123" s="53"/>
      <c r="F123" s="53"/>
      <c r="G123" s="52">
        <f>ROUND($C$16*Table5[[#This Row],[Hours]],2)</f>
        <v>0</v>
      </c>
      <c r="H123" s="47"/>
      <c r="I123" s="51"/>
      <c r="J123" s="50"/>
      <c r="K123" s="49"/>
      <c r="L123" s="48" t="str">
        <f>IF(AND(LEN(K123)&gt;0,D123="APPROVED"),VLOOKUP(Table5[[#This Row],[COMPLETION %]],COMPL_STATUS,2,1),"")</f>
        <v/>
      </c>
      <c r="M123" s="47"/>
      <c r="N123" s="47"/>
      <c r="O123" s="46"/>
    </row>
    <row r="124" spans="3:15" s="55" customFormat="1" ht="15">
      <c r="C124" s="54"/>
      <c r="D124" s="54"/>
      <c r="E124" s="53"/>
      <c r="F124" s="53"/>
      <c r="G124" s="52">
        <f>ROUND($C$16*Table5[[#This Row],[Hours]],2)</f>
        <v>0</v>
      </c>
      <c r="H124" s="47"/>
      <c r="I124" s="51"/>
      <c r="J124" s="50"/>
      <c r="K124" s="49"/>
      <c r="L124" s="48" t="str">
        <f>IF(AND(LEN(K124)&gt;0,D124="APPROVED"),VLOOKUP(Table5[[#This Row],[COMPLETION %]],COMPL_STATUS,2,1),"")</f>
        <v/>
      </c>
      <c r="M124" s="47"/>
      <c r="N124" s="47"/>
      <c r="O124" s="46"/>
    </row>
    <row r="125" spans="3:15" s="55" customFormat="1" ht="15">
      <c r="C125" s="54"/>
      <c r="D125" s="54"/>
      <c r="E125" s="53"/>
      <c r="F125" s="53"/>
      <c r="G125" s="52">
        <f>ROUND($C$16*Table5[[#This Row],[Hours]],2)</f>
        <v>0</v>
      </c>
      <c r="H125" s="47"/>
      <c r="I125" s="51"/>
      <c r="J125" s="50"/>
      <c r="K125" s="49"/>
      <c r="L125" s="48" t="str">
        <f>IF(AND(LEN(K125)&gt;0,D125="APPROVED"),VLOOKUP(Table5[[#This Row],[COMPLETION %]],COMPL_STATUS,2,1),"")</f>
        <v/>
      </c>
      <c r="M125" s="47"/>
      <c r="N125" s="47"/>
      <c r="O125" s="46"/>
    </row>
    <row r="126" spans="3:15" s="55" customFormat="1" ht="15">
      <c r="C126" s="54"/>
      <c r="D126" s="54"/>
      <c r="E126" s="53"/>
      <c r="F126" s="53"/>
      <c r="G126" s="52">
        <f>ROUND($C$16*Table5[[#This Row],[Hours]],2)</f>
        <v>0</v>
      </c>
      <c r="H126" s="47"/>
      <c r="I126" s="51"/>
      <c r="J126" s="50"/>
      <c r="K126" s="49"/>
      <c r="L126" s="48" t="str">
        <f>IF(AND(LEN(K126)&gt;0,D126="APPROVED"),VLOOKUP(Table5[[#This Row],[COMPLETION %]],COMPL_STATUS,2,1),"")</f>
        <v/>
      </c>
      <c r="M126" s="47"/>
      <c r="N126" s="47"/>
      <c r="O126" s="46"/>
    </row>
    <row r="127" spans="3:15" s="55" customFormat="1" ht="15">
      <c r="C127" s="54"/>
      <c r="D127" s="54"/>
      <c r="E127" s="53"/>
      <c r="F127" s="53"/>
      <c r="G127" s="52">
        <f>ROUND($C$16*Table5[[#This Row],[Hours]],2)</f>
        <v>0</v>
      </c>
      <c r="H127" s="47"/>
      <c r="I127" s="51"/>
      <c r="J127" s="50"/>
      <c r="K127" s="49"/>
      <c r="L127" s="48" t="str">
        <f>IF(AND(LEN(K127)&gt;0,D127="APPROVED"),VLOOKUP(Table5[[#This Row],[COMPLETION %]],COMPL_STATUS,2,1),"")</f>
        <v/>
      </c>
      <c r="M127" s="47"/>
      <c r="N127" s="47"/>
      <c r="O127" s="46"/>
    </row>
    <row r="128" spans="3:15" s="55" customFormat="1" ht="15">
      <c r="C128" s="54"/>
      <c r="D128" s="54"/>
      <c r="E128" s="53"/>
      <c r="F128" s="53"/>
      <c r="G128" s="52">
        <f>ROUND($C$16*Table5[[#This Row],[Hours]],2)</f>
        <v>0</v>
      </c>
      <c r="H128" s="47"/>
      <c r="I128" s="51"/>
      <c r="J128" s="50"/>
      <c r="K128" s="49"/>
      <c r="L128" s="48" t="str">
        <f>IF(AND(LEN(K128)&gt;0,D128="APPROVED"),VLOOKUP(Table5[[#This Row],[COMPLETION %]],COMPL_STATUS,2,1),"")</f>
        <v/>
      </c>
      <c r="M128" s="47"/>
      <c r="N128" s="47"/>
      <c r="O128" s="46"/>
    </row>
    <row r="129" spans="3:15" s="55" customFormat="1" ht="15">
      <c r="C129" s="54"/>
      <c r="D129" s="54"/>
      <c r="E129" s="53"/>
      <c r="F129" s="53"/>
      <c r="G129" s="52">
        <f>ROUND($C$16*Table5[[#This Row],[Hours]],2)</f>
        <v>0</v>
      </c>
      <c r="H129" s="47"/>
      <c r="I129" s="51"/>
      <c r="J129" s="50"/>
      <c r="K129" s="49"/>
      <c r="L129" s="48" t="str">
        <f>IF(AND(LEN(K129)&gt;0,D129="APPROVED"),VLOOKUP(Table5[[#This Row],[COMPLETION %]],COMPL_STATUS,2,1),"")</f>
        <v/>
      </c>
      <c r="M129" s="47"/>
      <c r="N129" s="47"/>
      <c r="O129" s="46"/>
    </row>
    <row r="130" spans="3:15" s="55" customFormat="1" ht="15">
      <c r="C130" s="54"/>
      <c r="D130" s="54"/>
      <c r="E130" s="53"/>
      <c r="F130" s="53"/>
      <c r="G130" s="52">
        <f>ROUND($C$16*Table5[[#This Row],[Hours]],2)</f>
        <v>0</v>
      </c>
      <c r="H130" s="47"/>
      <c r="I130" s="51"/>
      <c r="J130" s="50"/>
      <c r="K130" s="49"/>
      <c r="L130" s="48" t="str">
        <f>IF(AND(LEN(K130)&gt;0,D130="APPROVED"),VLOOKUP(Table5[[#This Row],[COMPLETION %]],COMPL_STATUS,2,1),"")</f>
        <v/>
      </c>
      <c r="M130" s="47"/>
      <c r="N130" s="47"/>
      <c r="O130" s="46"/>
    </row>
    <row r="131" spans="3:15" s="55" customFormat="1" ht="15">
      <c r="C131" s="54"/>
      <c r="D131" s="54"/>
      <c r="E131" s="53"/>
      <c r="F131" s="53"/>
      <c r="G131" s="52">
        <f>ROUND($C$16*Table5[[#This Row],[Hours]],2)</f>
        <v>0</v>
      </c>
      <c r="H131" s="47"/>
      <c r="I131" s="51"/>
      <c r="J131" s="50"/>
      <c r="K131" s="49"/>
      <c r="L131" s="48" t="str">
        <f>IF(AND(LEN(K131)&gt;0,D131="APPROVED"),VLOOKUP(Table5[[#This Row],[COMPLETION %]],COMPL_STATUS,2,1),"")</f>
        <v/>
      </c>
      <c r="M131" s="47"/>
      <c r="N131" s="47"/>
      <c r="O131" s="46"/>
    </row>
    <row r="132" spans="3:15" s="55" customFormat="1" ht="15">
      <c r="C132" s="54"/>
      <c r="D132" s="54"/>
      <c r="E132" s="53"/>
      <c r="F132" s="53"/>
      <c r="G132" s="52">
        <f>ROUND($C$16*Table5[[#This Row],[Hours]],2)</f>
        <v>0</v>
      </c>
      <c r="H132" s="47"/>
      <c r="I132" s="51"/>
      <c r="J132" s="50"/>
      <c r="K132" s="49"/>
      <c r="L132" s="48" t="str">
        <f>IF(AND(LEN(K132)&gt;0,D132="APPROVED"),VLOOKUP(Table5[[#This Row],[COMPLETION %]],COMPL_STATUS,2,1),"")</f>
        <v/>
      </c>
      <c r="M132" s="47"/>
      <c r="N132" s="47"/>
      <c r="O132" s="46"/>
    </row>
    <row r="133" spans="3:15" s="55" customFormat="1" ht="15">
      <c r="C133" s="54"/>
      <c r="D133" s="54"/>
      <c r="E133" s="53"/>
      <c r="F133" s="53"/>
      <c r="G133" s="52">
        <f>ROUND($C$16*Table5[[#This Row],[Hours]],2)</f>
        <v>0</v>
      </c>
      <c r="H133" s="47"/>
      <c r="I133" s="51"/>
      <c r="J133" s="50"/>
      <c r="K133" s="49"/>
      <c r="L133" s="48" t="str">
        <f>IF(AND(LEN(K133)&gt;0,D133="APPROVED"),VLOOKUP(Table5[[#This Row],[COMPLETION %]],COMPL_STATUS,2,1),"")</f>
        <v/>
      </c>
      <c r="M133" s="47"/>
      <c r="N133" s="47"/>
      <c r="O133" s="46"/>
    </row>
    <row r="134" spans="3:15" s="55" customFormat="1" ht="15">
      <c r="C134" s="54"/>
      <c r="D134" s="54"/>
      <c r="E134" s="53"/>
      <c r="F134" s="53"/>
      <c r="G134" s="52">
        <f>ROUND($C$16*Table5[[#This Row],[Hours]],2)</f>
        <v>0</v>
      </c>
      <c r="H134" s="47"/>
      <c r="I134" s="51"/>
      <c r="J134" s="50"/>
      <c r="K134" s="49"/>
      <c r="L134" s="48" t="str">
        <f>IF(AND(LEN(K134)&gt;0,D134="APPROVED"),VLOOKUP(Table5[[#This Row],[COMPLETION %]],COMPL_STATUS,2,1),"")</f>
        <v/>
      </c>
      <c r="M134" s="47"/>
      <c r="N134" s="47"/>
      <c r="O134" s="46"/>
    </row>
    <row r="135" spans="3:15" s="55" customFormat="1" ht="15">
      <c r="C135" s="54"/>
      <c r="D135" s="54"/>
      <c r="E135" s="53"/>
      <c r="F135" s="53"/>
      <c r="G135" s="52">
        <f>ROUND($C$16*Table5[[#This Row],[Hours]],2)</f>
        <v>0</v>
      </c>
      <c r="H135" s="47"/>
      <c r="I135" s="51"/>
      <c r="J135" s="50"/>
      <c r="K135" s="49"/>
      <c r="L135" s="48" t="str">
        <f>IF(AND(LEN(K135)&gt;0,D135="APPROVED"),VLOOKUP(Table5[[#This Row],[COMPLETION %]],COMPL_STATUS,2,1),"")</f>
        <v/>
      </c>
      <c r="M135" s="47"/>
      <c r="N135" s="47"/>
      <c r="O135" s="46"/>
    </row>
    <row r="136" spans="3:15" s="55" customFormat="1" ht="15">
      <c r="C136" s="54"/>
      <c r="D136" s="54"/>
      <c r="E136" s="53"/>
      <c r="F136" s="53"/>
      <c r="G136" s="52">
        <f>ROUND($C$16*Table5[[#This Row],[Hours]],2)</f>
        <v>0</v>
      </c>
      <c r="H136" s="47"/>
      <c r="I136" s="51"/>
      <c r="J136" s="50"/>
      <c r="K136" s="49"/>
      <c r="L136" s="48" t="str">
        <f>IF(AND(LEN(K136)&gt;0,D136="APPROVED"),VLOOKUP(Table5[[#This Row],[COMPLETION %]],COMPL_STATUS,2,1),"")</f>
        <v/>
      </c>
      <c r="M136" s="47"/>
      <c r="N136" s="47"/>
      <c r="O136" s="46"/>
    </row>
    <row r="137" spans="3:15" s="55" customFormat="1" ht="15">
      <c r="C137" s="54"/>
      <c r="D137" s="54"/>
      <c r="E137" s="53"/>
      <c r="F137" s="53"/>
      <c r="G137" s="52">
        <f>ROUND($C$16*Table5[[#This Row],[Hours]],2)</f>
        <v>0</v>
      </c>
      <c r="H137" s="47"/>
      <c r="I137" s="51"/>
      <c r="J137" s="50"/>
      <c r="K137" s="49"/>
      <c r="L137" s="48" t="str">
        <f>IF(AND(LEN(K137)&gt;0,D137="APPROVED"),VLOOKUP(Table5[[#This Row],[COMPLETION %]],COMPL_STATUS,2,1),"")</f>
        <v/>
      </c>
      <c r="M137" s="47"/>
      <c r="N137" s="47"/>
      <c r="O137" s="46"/>
    </row>
    <row r="138" spans="3:15" s="55" customFormat="1" ht="15">
      <c r="C138" s="54"/>
      <c r="D138" s="54"/>
      <c r="E138" s="53"/>
      <c r="F138" s="53"/>
      <c r="G138" s="52">
        <f>ROUND($C$16*Table5[[#This Row],[Hours]],2)</f>
        <v>0</v>
      </c>
      <c r="H138" s="47"/>
      <c r="I138" s="51"/>
      <c r="J138" s="50"/>
      <c r="K138" s="49"/>
      <c r="L138" s="48" t="str">
        <f>IF(AND(LEN(K138)&gt;0,D138="APPROVED"),VLOOKUP(Table5[[#This Row],[COMPLETION %]],COMPL_STATUS,2,1),"")</f>
        <v/>
      </c>
      <c r="M138" s="47"/>
      <c r="N138" s="47"/>
      <c r="O138" s="46"/>
    </row>
    <row r="139" spans="3:15" s="55" customFormat="1" ht="15">
      <c r="C139" s="54"/>
      <c r="D139" s="54"/>
      <c r="E139" s="53"/>
      <c r="F139" s="53"/>
      <c r="G139" s="52">
        <f>ROUND($C$16*Table5[[#This Row],[Hours]],2)</f>
        <v>0</v>
      </c>
      <c r="H139" s="47"/>
      <c r="I139" s="51"/>
      <c r="J139" s="50"/>
      <c r="K139" s="49"/>
      <c r="L139" s="48" t="str">
        <f>IF(AND(LEN(K139)&gt;0,D139="APPROVED"),VLOOKUP(Table5[[#This Row],[COMPLETION %]],COMPL_STATUS,2,1),"")</f>
        <v/>
      </c>
      <c r="M139" s="47"/>
      <c r="N139" s="47"/>
      <c r="O139" s="46"/>
    </row>
    <row r="140" spans="3:15" s="55" customFormat="1" ht="15">
      <c r="C140" s="54"/>
      <c r="D140" s="54"/>
      <c r="E140" s="53"/>
      <c r="F140" s="53"/>
      <c r="G140" s="52">
        <f>ROUND($C$16*Table5[[#This Row],[Hours]],2)</f>
        <v>0</v>
      </c>
      <c r="H140" s="47"/>
      <c r="I140" s="51"/>
      <c r="J140" s="50"/>
      <c r="K140" s="49"/>
      <c r="L140" s="48" t="str">
        <f>IF(AND(LEN(K140)&gt;0,D140="APPROVED"),VLOOKUP(Table5[[#This Row],[COMPLETION %]],COMPL_STATUS,2,1),"")</f>
        <v/>
      </c>
      <c r="M140" s="47"/>
      <c r="N140" s="47"/>
      <c r="O140" s="46"/>
    </row>
    <row r="141" spans="3:15" s="55" customFormat="1" ht="15">
      <c r="C141" s="54"/>
      <c r="D141" s="54"/>
      <c r="E141" s="53"/>
      <c r="F141" s="53"/>
      <c r="G141" s="52">
        <f>ROUND($C$16*Table5[[#This Row],[Hours]],2)</f>
        <v>0</v>
      </c>
      <c r="H141" s="47"/>
      <c r="I141" s="51"/>
      <c r="J141" s="50"/>
      <c r="K141" s="49"/>
      <c r="L141" s="48" t="str">
        <f>IF(AND(LEN(K141)&gt;0,D141="APPROVED"),VLOOKUP(Table5[[#This Row],[COMPLETION %]],COMPL_STATUS,2,1),"")</f>
        <v/>
      </c>
      <c r="M141" s="47"/>
      <c r="N141" s="47"/>
      <c r="O141" s="46"/>
    </row>
    <row r="142" spans="3:15" s="55" customFormat="1" ht="15">
      <c r="C142" s="54"/>
      <c r="D142" s="54"/>
      <c r="E142" s="53"/>
      <c r="F142" s="53"/>
      <c r="G142" s="52">
        <f>ROUND($C$16*Table5[[#This Row],[Hours]],2)</f>
        <v>0</v>
      </c>
      <c r="H142" s="47"/>
      <c r="I142" s="51"/>
      <c r="J142" s="50"/>
      <c r="K142" s="49"/>
      <c r="L142" s="48" t="str">
        <f>IF(AND(LEN(K142)&gt;0,D142="APPROVED"),VLOOKUP(Table5[[#This Row],[COMPLETION %]],COMPL_STATUS,2,1),"")</f>
        <v/>
      </c>
      <c r="M142" s="47"/>
      <c r="N142" s="47"/>
      <c r="O142" s="46"/>
    </row>
    <row r="143" spans="3:15" s="55" customFormat="1" ht="15">
      <c r="C143" s="54"/>
      <c r="D143" s="54"/>
      <c r="E143" s="53"/>
      <c r="F143" s="53"/>
      <c r="G143" s="52">
        <f>ROUND($C$16*Table5[[#This Row],[Hours]],2)</f>
        <v>0</v>
      </c>
      <c r="H143" s="47"/>
      <c r="I143" s="51"/>
      <c r="J143" s="50"/>
      <c r="K143" s="49"/>
      <c r="L143" s="48" t="str">
        <f>IF(AND(LEN(K143)&gt;0,D143="APPROVED"),VLOOKUP(Table5[[#This Row],[COMPLETION %]],COMPL_STATUS,2,1),"")</f>
        <v/>
      </c>
      <c r="M143" s="47"/>
      <c r="N143" s="47"/>
      <c r="O143" s="46"/>
    </row>
    <row r="144" spans="3:15" s="55" customFormat="1" ht="15">
      <c r="C144" s="54"/>
      <c r="D144" s="54"/>
      <c r="E144" s="53"/>
      <c r="F144" s="53"/>
      <c r="G144" s="52">
        <f>ROUND($C$16*Table5[[#This Row],[Hours]],2)</f>
        <v>0</v>
      </c>
      <c r="H144" s="47"/>
      <c r="I144" s="51"/>
      <c r="J144" s="50"/>
      <c r="K144" s="49"/>
      <c r="L144" s="48" t="str">
        <f>IF(AND(LEN(K144)&gt;0,D144="APPROVED"),VLOOKUP(Table5[[#This Row],[COMPLETION %]],COMPL_STATUS,2,1),"")</f>
        <v/>
      </c>
      <c r="M144" s="47"/>
      <c r="N144" s="47"/>
      <c r="O144" s="46"/>
    </row>
    <row r="145" spans="3:15" s="55" customFormat="1" ht="15">
      <c r="C145" s="54"/>
      <c r="D145" s="54"/>
      <c r="E145" s="53"/>
      <c r="F145" s="53"/>
      <c r="G145" s="52">
        <f>ROUND($C$16*Table5[[#This Row],[Hours]],2)</f>
        <v>0</v>
      </c>
      <c r="H145" s="47"/>
      <c r="I145" s="51"/>
      <c r="J145" s="50"/>
      <c r="K145" s="49"/>
      <c r="L145" s="48" t="str">
        <f>IF(AND(LEN(K145)&gt;0,D145="APPROVED"),VLOOKUP(Table5[[#This Row],[COMPLETION %]],COMPL_STATUS,2,1),"")</f>
        <v/>
      </c>
      <c r="M145" s="47"/>
      <c r="N145" s="47"/>
      <c r="O145" s="46"/>
    </row>
    <row r="146" spans="3:15" s="55" customFormat="1" ht="15">
      <c r="C146" s="54"/>
      <c r="D146" s="54"/>
      <c r="E146" s="53"/>
      <c r="F146" s="53"/>
      <c r="G146" s="52">
        <f>ROUND($C$16*Table5[[#This Row],[Hours]],2)</f>
        <v>0</v>
      </c>
      <c r="H146" s="47"/>
      <c r="I146" s="51"/>
      <c r="J146" s="50"/>
      <c r="K146" s="49"/>
      <c r="L146" s="48" t="str">
        <f>IF(AND(LEN(K146)&gt;0,D146="APPROVED"),VLOOKUP(Table5[[#This Row],[COMPLETION %]],COMPL_STATUS,2,1),"")</f>
        <v/>
      </c>
      <c r="M146" s="47"/>
      <c r="N146" s="47"/>
      <c r="O146" s="46"/>
    </row>
    <row r="147" spans="3:15" s="55" customFormat="1" ht="15">
      <c r="C147" s="54"/>
      <c r="D147" s="54"/>
      <c r="E147" s="53"/>
      <c r="F147" s="53"/>
      <c r="G147" s="52">
        <f>ROUND($C$16*Table5[[#This Row],[Hours]],2)</f>
        <v>0</v>
      </c>
      <c r="H147" s="47"/>
      <c r="I147" s="51"/>
      <c r="J147" s="50"/>
      <c r="K147" s="49"/>
      <c r="L147" s="48" t="str">
        <f>IF(AND(LEN(K147)&gt;0,D147="APPROVED"),VLOOKUP(Table5[[#This Row],[COMPLETION %]],COMPL_STATUS,2,1),"")</f>
        <v/>
      </c>
      <c r="M147" s="47"/>
      <c r="N147" s="47"/>
      <c r="O147" s="46"/>
    </row>
    <row r="148" spans="3:15" s="55" customFormat="1" ht="15">
      <c r="C148" s="54"/>
      <c r="D148" s="54"/>
      <c r="E148" s="53"/>
      <c r="F148" s="53"/>
      <c r="G148" s="52">
        <f>ROUND($C$16*Table5[[#This Row],[Hours]],2)</f>
        <v>0</v>
      </c>
      <c r="H148" s="47"/>
      <c r="I148" s="51"/>
      <c r="J148" s="50"/>
      <c r="K148" s="49"/>
      <c r="L148" s="48" t="str">
        <f>IF(AND(LEN(K148)&gt;0,D148="APPROVED"),VLOOKUP(Table5[[#This Row],[COMPLETION %]],COMPL_STATUS,2,1),"")</f>
        <v/>
      </c>
      <c r="M148" s="47"/>
      <c r="N148" s="47"/>
      <c r="O148" s="46"/>
    </row>
    <row r="149" spans="3:15" s="55" customFormat="1" ht="15">
      <c r="C149" s="54"/>
      <c r="D149" s="54"/>
      <c r="E149" s="53"/>
      <c r="F149" s="53"/>
      <c r="G149" s="52">
        <f>ROUND($C$16*Table5[[#This Row],[Hours]],2)</f>
        <v>0</v>
      </c>
      <c r="H149" s="47"/>
      <c r="I149" s="51"/>
      <c r="J149" s="50"/>
      <c r="K149" s="49"/>
      <c r="L149" s="48" t="str">
        <f>IF(AND(LEN(K149)&gt;0,D149="APPROVED"),VLOOKUP(Table5[[#This Row],[COMPLETION %]],COMPL_STATUS,2,1),"")</f>
        <v/>
      </c>
      <c r="M149" s="47"/>
      <c r="N149" s="47"/>
      <c r="O149" s="46"/>
    </row>
    <row r="150" spans="3:15" s="55" customFormat="1" ht="15">
      <c r="C150" s="54"/>
      <c r="D150" s="54"/>
      <c r="E150" s="53"/>
      <c r="F150" s="53"/>
      <c r="G150" s="52">
        <f>ROUND($C$16*Table5[[#This Row],[Hours]],2)</f>
        <v>0</v>
      </c>
      <c r="H150" s="47"/>
      <c r="I150" s="51"/>
      <c r="J150" s="50"/>
      <c r="K150" s="49"/>
      <c r="L150" s="48" t="str">
        <f>IF(AND(LEN(K150)&gt;0,D150="APPROVED"),VLOOKUP(Table5[[#This Row],[COMPLETION %]],COMPL_STATUS,2,1),"")</f>
        <v/>
      </c>
      <c r="M150" s="47"/>
      <c r="N150" s="47"/>
      <c r="O150" s="46"/>
    </row>
    <row r="151" spans="3:15" s="55" customFormat="1" ht="15">
      <c r="C151" s="54"/>
      <c r="D151" s="54"/>
      <c r="E151" s="53"/>
      <c r="F151" s="53"/>
      <c r="G151" s="52">
        <f>ROUND($C$16*Table5[[#This Row],[Hours]],2)</f>
        <v>0</v>
      </c>
      <c r="H151" s="47"/>
      <c r="I151" s="51"/>
      <c r="J151" s="50"/>
      <c r="K151" s="49"/>
      <c r="L151" s="48" t="str">
        <f>IF(AND(LEN(K151)&gt;0,D151="APPROVED"),VLOOKUP(Table5[[#This Row],[COMPLETION %]],COMPL_STATUS,2,1),"")</f>
        <v/>
      </c>
      <c r="M151" s="47"/>
      <c r="N151" s="47"/>
      <c r="O151" s="46"/>
    </row>
    <row r="152" spans="3:15" s="55" customFormat="1" ht="15">
      <c r="C152" s="54"/>
      <c r="D152" s="54"/>
      <c r="E152" s="53"/>
      <c r="F152" s="53"/>
      <c r="G152" s="52">
        <f>ROUND($C$16*Table5[[#This Row],[Hours]],2)</f>
        <v>0</v>
      </c>
      <c r="H152" s="47"/>
      <c r="I152" s="51"/>
      <c r="J152" s="50"/>
      <c r="K152" s="49"/>
      <c r="L152" s="48" t="str">
        <f>IF(AND(LEN(K152)&gt;0,D152="APPROVED"),VLOOKUP(Table5[[#This Row],[COMPLETION %]],COMPL_STATUS,2,1),"")</f>
        <v/>
      </c>
      <c r="M152" s="47"/>
      <c r="N152" s="47"/>
      <c r="O152" s="46"/>
    </row>
    <row r="153" spans="3:15" s="55" customFormat="1" ht="15">
      <c r="C153" s="54"/>
      <c r="D153" s="54"/>
      <c r="E153" s="53"/>
      <c r="F153" s="53"/>
      <c r="G153" s="52">
        <f>ROUND($C$16*Table5[[#This Row],[Hours]],2)</f>
        <v>0</v>
      </c>
      <c r="H153" s="47"/>
      <c r="I153" s="51"/>
      <c r="J153" s="50"/>
      <c r="K153" s="49"/>
      <c r="L153" s="48" t="str">
        <f>IF(AND(LEN(K153)&gt;0,D153="APPROVED"),VLOOKUP(Table5[[#This Row],[COMPLETION %]],COMPL_STATUS,2,1),"")</f>
        <v/>
      </c>
      <c r="M153" s="47"/>
      <c r="N153" s="47"/>
      <c r="O153" s="46"/>
    </row>
    <row r="154" spans="3:15" s="55" customFormat="1" ht="15">
      <c r="C154" s="54"/>
      <c r="D154" s="54"/>
      <c r="E154" s="53"/>
      <c r="F154" s="53"/>
      <c r="G154" s="52">
        <f>ROUND($C$16*Table5[[#This Row],[Hours]],2)</f>
        <v>0</v>
      </c>
      <c r="H154" s="47"/>
      <c r="I154" s="51"/>
      <c r="J154" s="50"/>
      <c r="K154" s="49"/>
      <c r="L154" s="48" t="str">
        <f>IF(AND(LEN(K154)&gt;0,D154="APPROVED"),VLOOKUP(Table5[[#This Row],[COMPLETION %]],COMPL_STATUS,2,1),"")</f>
        <v/>
      </c>
      <c r="M154" s="47"/>
      <c r="N154" s="47"/>
      <c r="O154" s="46"/>
    </row>
    <row r="155" spans="3:15" s="55" customFormat="1" ht="15">
      <c r="C155" s="54"/>
      <c r="D155" s="54"/>
      <c r="E155" s="53"/>
      <c r="F155" s="53"/>
      <c r="G155" s="52">
        <f>ROUND($C$16*Table5[[#This Row],[Hours]],2)</f>
        <v>0</v>
      </c>
      <c r="H155" s="47"/>
      <c r="I155" s="51"/>
      <c r="J155" s="50"/>
      <c r="K155" s="49"/>
      <c r="L155" s="48" t="str">
        <f>IF(AND(LEN(K155)&gt;0,D155="APPROVED"),VLOOKUP(Table5[[#This Row],[COMPLETION %]],COMPL_STATUS,2,1),"")</f>
        <v/>
      </c>
      <c r="M155" s="47"/>
      <c r="N155" s="47"/>
      <c r="O155" s="46"/>
    </row>
    <row r="156" spans="3:15" s="55" customFormat="1" ht="15">
      <c r="C156" s="54"/>
      <c r="D156" s="54"/>
      <c r="E156" s="53"/>
      <c r="F156" s="53"/>
      <c r="G156" s="52">
        <f>ROUND($C$16*Table5[[#This Row],[Hours]],2)</f>
        <v>0</v>
      </c>
      <c r="H156" s="47"/>
      <c r="I156" s="51"/>
      <c r="J156" s="50"/>
      <c r="K156" s="49"/>
      <c r="L156" s="48" t="str">
        <f>IF(AND(LEN(K156)&gt;0,D156="APPROVED"),VLOOKUP(Table5[[#This Row],[COMPLETION %]],COMPL_STATUS,2,1),"")</f>
        <v/>
      </c>
      <c r="M156" s="47"/>
      <c r="N156" s="47"/>
      <c r="O156" s="46"/>
    </row>
    <row r="157" spans="3:15" s="55" customFormat="1" ht="15">
      <c r="C157" s="54"/>
      <c r="D157" s="54"/>
      <c r="E157" s="53"/>
      <c r="F157" s="53"/>
      <c r="G157" s="52">
        <f>ROUND($C$16*Table5[[#This Row],[Hours]],2)</f>
        <v>0</v>
      </c>
      <c r="H157" s="47"/>
      <c r="I157" s="51"/>
      <c r="J157" s="50"/>
      <c r="K157" s="49"/>
      <c r="L157" s="48" t="str">
        <f>IF(AND(LEN(K157)&gt;0,D157="APPROVED"),VLOOKUP(Table5[[#This Row],[COMPLETION %]],COMPL_STATUS,2,1),"")</f>
        <v/>
      </c>
      <c r="M157" s="47"/>
      <c r="N157" s="47"/>
      <c r="O157" s="46"/>
    </row>
    <row r="158" spans="3:15" s="55" customFormat="1" ht="15">
      <c r="C158" s="54"/>
      <c r="D158" s="54"/>
      <c r="E158" s="53"/>
      <c r="F158" s="53"/>
      <c r="G158" s="52">
        <f>ROUND($C$16*Table5[[#This Row],[Hours]],2)</f>
        <v>0</v>
      </c>
      <c r="H158" s="47"/>
      <c r="I158" s="51"/>
      <c r="J158" s="50"/>
      <c r="K158" s="49"/>
      <c r="L158" s="48" t="str">
        <f>IF(AND(LEN(K158)&gt;0,D158="APPROVED"),VLOOKUP(Table5[[#This Row],[COMPLETION %]],COMPL_STATUS,2,1),"")</f>
        <v/>
      </c>
      <c r="M158" s="47"/>
      <c r="N158" s="47"/>
      <c r="O158" s="46"/>
    </row>
    <row r="159" spans="3:15" s="55" customFormat="1" ht="15">
      <c r="C159" s="54"/>
      <c r="D159" s="54"/>
      <c r="E159" s="53"/>
      <c r="F159" s="53"/>
      <c r="G159" s="52">
        <f>ROUND($C$16*Table5[[#This Row],[Hours]],2)</f>
        <v>0</v>
      </c>
      <c r="H159" s="47"/>
      <c r="I159" s="51"/>
      <c r="J159" s="50"/>
      <c r="K159" s="49"/>
      <c r="L159" s="48" t="str">
        <f>IF(AND(LEN(K159)&gt;0,D159="APPROVED"),VLOOKUP(Table5[[#This Row],[COMPLETION %]],COMPL_STATUS,2,1),"")</f>
        <v/>
      </c>
      <c r="M159" s="47"/>
      <c r="N159" s="47"/>
      <c r="O159" s="46"/>
    </row>
    <row r="160" spans="3:15" s="55" customFormat="1" ht="15">
      <c r="C160" s="54"/>
      <c r="D160" s="54"/>
      <c r="E160" s="53"/>
      <c r="F160" s="53"/>
      <c r="G160" s="52">
        <f>ROUND($C$16*Table5[[#This Row],[Hours]],2)</f>
        <v>0</v>
      </c>
      <c r="H160" s="47"/>
      <c r="I160" s="51"/>
      <c r="J160" s="50"/>
      <c r="K160" s="49"/>
      <c r="L160" s="48" t="str">
        <f>IF(AND(LEN(K160)&gt;0,D160="APPROVED"),VLOOKUP(Table5[[#This Row],[COMPLETION %]],COMPL_STATUS,2,1),"")</f>
        <v/>
      </c>
      <c r="M160" s="47"/>
      <c r="N160" s="47"/>
      <c r="O160" s="46"/>
    </row>
    <row r="161" spans="3:15" s="55" customFormat="1" ht="15">
      <c r="C161" s="54"/>
      <c r="D161" s="54"/>
      <c r="E161" s="53"/>
      <c r="F161" s="53"/>
      <c r="G161" s="52">
        <f>ROUND($C$16*Table5[[#This Row],[Hours]],2)</f>
        <v>0</v>
      </c>
      <c r="H161" s="47"/>
      <c r="I161" s="51"/>
      <c r="J161" s="50"/>
      <c r="K161" s="49"/>
      <c r="L161" s="48" t="str">
        <f>IF(AND(LEN(K161)&gt;0,D161="APPROVED"),VLOOKUP(Table5[[#This Row],[COMPLETION %]],COMPL_STATUS,2,1),"")</f>
        <v/>
      </c>
      <c r="M161" s="47"/>
      <c r="N161" s="47"/>
      <c r="O161" s="46"/>
    </row>
    <row r="162" spans="3:15" s="55" customFormat="1" ht="15">
      <c r="C162" s="54"/>
      <c r="D162" s="54"/>
      <c r="E162" s="53"/>
      <c r="F162" s="53"/>
      <c r="G162" s="52">
        <f>ROUND($C$16*Table5[[#This Row],[Hours]],2)</f>
        <v>0</v>
      </c>
      <c r="H162" s="47"/>
      <c r="I162" s="51"/>
      <c r="J162" s="50"/>
      <c r="K162" s="49"/>
      <c r="L162" s="48" t="str">
        <f>IF(AND(LEN(K162)&gt;0,D162="APPROVED"),VLOOKUP(Table5[[#This Row],[COMPLETION %]],COMPL_STATUS,2,1),"")</f>
        <v/>
      </c>
      <c r="M162" s="47"/>
      <c r="N162" s="47"/>
      <c r="O162" s="46"/>
    </row>
    <row r="163" spans="3:15" s="55" customFormat="1" ht="15">
      <c r="C163" s="54"/>
      <c r="D163" s="54"/>
      <c r="E163" s="53"/>
      <c r="F163" s="53"/>
      <c r="G163" s="52">
        <f>ROUND($C$16*Table5[[#This Row],[Hours]],2)</f>
        <v>0</v>
      </c>
      <c r="H163" s="47"/>
      <c r="I163" s="51"/>
      <c r="J163" s="50"/>
      <c r="K163" s="49"/>
      <c r="L163" s="48" t="str">
        <f>IF(AND(LEN(K163)&gt;0,D163="APPROVED"),VLOOKUP(Table5[[#This Row],[COMPLETION %]],COMPL_STATUS,2,1),"")</f>
        <v/>
      </c>
      <c r="M163" s="47"/>
      <c r="N163" s="47"/>
      <c r="O163" s="46"/>
    </row>
    <row r="164" spans="3:15" s="55" customFormat="1" ht="15">
      <c r="C164" s="54"/>
      <c r="D164" s="54"/>
      <c r="E164" s="53"/>
      <c r="F164" s="53"/>
      <c r="G164" s="52">
        <f>ROUND($C$16*Table5[[#This Row],[Hours]],2)</f>
        <v>0</v>
      </c>
      <c r="H164" s="47"/>
      <c r="I164" s="51"/>
      <c r="J164" s="50"/>
      <c r="K164" s="49"/>
      <c r="L164" s="48" t="str">
        <f>IF(AND(LEN(K164)&gt;0,D164="APPROVED"),VLOOKUP(Table5[[#This Row],[COMPLETION %]],COMPL_STATUS,2,1),"")</f>
        <v/>
      </c>
      <c r="M164" s="47"/>
      <c r="N164" s="47"/>
      <c r="O164" s="46"/>
    </row>
    <row r="165" spans="3:15" s="55" customFormat="1" ht="15">
      <c r="C165" s="54"/>
      <c r="D165" s="54"/>
      <c r="E165" s="53"/>
      <c r="F165" s="53"/>
      <c r="G165" s="52">
        <f>ROUND($C$16*Table5[[#This Row],[Hours]],2)</f>
        <v>0</v>
      </c>
      <c r="H165" s="47"/>
      <c r="I165" s="51"/>
      <c r="J165" s="50"/>
      <c r="K165" s="49"/>
      <c r="L165" s="48" t="str">
        <f>IF(AND(LEN(K165)&gt;0,D165="APPROVED"),VLOOKUP(Table5[[#This Row],[COMPLETION %]],COMPL_STATUS,2,1),"")</f>
        <v/>
      </c>
      <c r="M165" s="47"/>
      <c r="N165" s="47"/>
      <c r="O165" s="46"/>
    </row>
    <row r="166" spans="3:15" s="55" customFormat="1" ht="15">
      <c r="C166" s="54"/>
      <c r="D166" s="54"/>
      <c r="E166" s="53"/>
      <c r="F166" s="53"/>
      <c r="G166" s="52">
        <f>ROUND($C$16*Table5[[#This Row],[Hours]],2)</f>
        <v>0</v>
      </c>
      <c r="H166" s="47"/>
      <c r="I166" s="51"/>
      <c r="J166" s="50"/>
      <c r="K166" s="49"/>
      <c r="L166" s="48" t="str">
        <f>IF(AND(LEN(K166)&gt;0,D166="APPROVED"),VLOOKUP(Table5[[#This Row],[COMPLETION %]],COMPL_STATUS,2,1),"")</f>
        <v/>
      </c>
      <c r="M166" s="47"/>
      <c r="N166" s="47"/>
      <c r="O166" s="46"/>
    </row>
    <row r="167" spans="3:15" s="55" customFormat="1" ht="15">
      <c r="C167" s="54"/>
      <c r="D167" s="54"/>
      <c r="E167" s="53"/>
      <c r="F167" s="53"/>
      <c r="G167" s="52">
        <f>ROUND($C$16*Table5[[#This Row],[Hours]],2)</f>
        <v>0</v>
      </c>
      <c r="H167" s="47"/>
      <c r="I167" s="51"/>
      <c r="J167" s="50"/>
      <c r="K167" s="49"/>
      <c r="L167" s="48" t="str">
        <f>IF(AND(LEN(K167)&gt;0,D167="APPROVED"),VLOOKUP(Table5[[#This Row],[COMPLETION %]],COMPL_STATUS,2,1),"")</f>
        <v/>
      </c>
      <c r="M167" s="47"/>
      <c r="N167" s="47"/>
      <c r="O167" s="46"/>
    </row>
    <row r="168" spans="3:15" s="55" customFormat="1" ht="15">
      <c r="C168" s="54"/>
      <c r="D168" s="54"/>
      <c r="E168" s="53"/>
      <c r="F168" s="53"/>
      <c r="G168" s="52">
        <f>ROUND($C$16*Table5[[#This Row],[Hours]],2)</f>
        <v>0</v>
      </c>
      <c r="H168" s="47"/>
      <c r="I168" s="51"/>
      <c r="J168" s="50"/>
      <c r="K168" s="49"/>
      <c r="L168" s="48" t="str">
        <f>IF(AND(LEN(K168)&gt;0,D168="APPROVED"),VLOOKUP(Table5[[#This Row],[COMPLETION %]],COMPL_STATUS,2,1),"")</f>
        <v/>
      </c>
      <c r="M168" s="47"/>
      <c r="N168" s="47"/>
      <c r="O168" s="46"/>
    </row>
    <row r="169" spans="3:15" s="55" customFormat="1" ht="15">
      <c r="C169" s="54"/>
      <c r="D169" s="54"/>
      <c r="E169" s="53"/>
      <c r="F169" s="53"/>
      <c r="G169" s="52">
        <f>ROUND($C$16*Table5[[#This Row],[Hours]],2)</f>
        <v>0</v>
      </c>
      <c r="H169" s="47"/>
      <c r="I169" s="51"/>
      <c r="J169" s="50"/>
      <c r="K169" s="49"/>
      <c r="L169" s="48" t="str">
        <f>IF(AND(LEN(K169)&gt;0,D169="APPROVED"),VLOOKUP(Table5[[#This Row],[COMPLETION %]],COMPL_STATUS,2,1),"")</f>
        <v/>
      </c>
      <c r="M169" s="47"/>
      <c r="N169" s="47"/>
      <c r="O169" s="46"/>
    </row>
    <row r="170" spans="3:15" s="55" customFormat="1" ht="15">
      <c r="C170" s="54"/>
      <c r="D170" s="54"/>
      <c r="E170" s="53"/>
      <c r="F170" s="53"/>
      <c r="G170" s="52">
        <f>ROUND($C$16*Table5[[#This Row],[Hours]],2)</f>
        <v>0</v>
      </c>
      <c r="H170" s="47"/>
      <c r="I170" s="51"/>
      <c r="J170" s="50"/>
      <c r="K170" s="49"/>
      <c r="L170" s="48" t="str">
        <f>IF(AND(LEN(K170)&gt;0,D170="APPROVED"),VLOOKUP(Table5[[#This Row],[COMPLETION %]],COMPL_STATUS,2,1),"")</f>
        <v/>
      </c>
      <c r="M170" s="47"/>
      <c r="N170" s="47"/>
      <c r="O170" s="46"/>
    </row>
    <row r="171" spans="3:15" s="55" customFormat="1" ht="15">
      <c r="C171" s="54"/>
      <c r="D171" s="54"/>
      <c r="E171" s="53"/>
      <c r="F171" s="53"/>
      <c r="G171" s="52">
        <f>ROUND($C$16*Table5[[#This Row],[Hours]],2)</f>
        <v>0</v>
      </c>
      <c r="H171" s="47"/>
      <c r="I171" s="51"/>
      <c r="J171" s="50"/>
      <c r="K171" s="49"/>
      <c r="L171" s="48" t="str">
        <f>IF(AND(LEN(K171)&gt;0,D171="APPROVED"),VLOOKUP(Table5[[#This Row],[COMPLETION %]],COMPL_STATUS,2,1),"")</f>
        <v/>
      </c>
      <c r="M171" s="47"/>
      <c r="N171" s="47"/>
      <c r="O171" s="46"/>
    </row>
    <row r="172" spans="3:15" s="55" customFormat="1" ht="15">
      <c r="C172" s="54"/>
      <c r="D172" s="54"/>
      <c r="E172" s="53"/>
      <c r="F172" s="53"/>
      <c r="G172" s="52">
        <f>ROUND($C$16*Table5[[#This Row],[Hours]],2)</f>
        <v>0</v>
      </c>
      <c r="H172" s="47"/>
      <c r="I172" s="51"/>
      <c r="J172" s="50"/>
      <c r="K172" s="49"/>
      <c r="L172" s="48" t="str">
        <f>IF(AND(LEN(K172)&gt;0,D172="APPROVED"),VLOOKUP(Table5[[#This Row],[COMPLETION %]],COMPL_STATUS,2,1),"")</f>
        <v/>
      </c>
      <c r="M172" s="47"/>
      <c r="N172" s="47"/>
      <c r="O172" s="46"/>
    </row>
    <row r="173" spans="3:15" s="55" customFormat="1" ht="15">
      <c r="C173" s="54"/>
      <c r="D173" s="54"/>
      <c r="E173" s="53"/>
      <c r="F173" s="53"/>
      <c r="G173" s="52">
        <f>ROUND($C$16*Table5[[#This Row],[Hours]],2)</f>
        <v>0</v>
      </c>
      <c r="H173" s="47"/>
      <c r="I173" s="51"/>
      <c r="J173" s="50"/>
      <c r="K173" s="49"/>
      <c r="L173" s="48" t="str">
        <f>IF(AND(LEN(K173)&gt;0,D173="APPROVED"),VLOOKUP(Table5[[#This Row],[COMPLETION %]],COMPL_STATUS,2,1),"")</f>
        <v/>
      </c>
      <c r="M173" s="47"/>
      <c r="N173" s="47"/>
      <c r="O173" s="46"/>
    </row>
    <row r="174" spans="3:15" s="55" customFormat="1" ht="15">
      <c r="C174" s="54"/>
      <c r="D174" s="54"/>
      <c r="E174" s="53"/>
      <c r="F174" s="53"/>
      <c r="G174" s="52">
        <f>ROUND($C$16*Table5[[#This Row],[Hours]],2)</f>
        <v>0</v>
      </c>
      <c r="H174" s="47"/>
      <c r="I174" s="51"/>
      <c r="J174" s="50"/>
      <c r="K174" s="49"/>
      <c r="L174" s="48" t="str">
        <f>IF(AND(LEN(K174)&gt;0,D174="APPROVED"),VLOOKUP(Table5[[#This Row],[COMPLETION %]],COMPL_STATUS,2,1),"")</f>
        <v/>
      </c>
      <c r="M174" s="47"/>
      <c r="N174" s="47"/>
      <c r="O174" s="46"/>
    </row>
    <row r="175" spans="3:15" s="55" customFormat="1" ht="15">
      <c r="C175" s="54"/>
      <c r="D175" s="54"/>
      <c r="E175" s="53"/>
      <c r="F175" s="53"/>
      <c r="G175" s="52">
        <f>ROUND($C$16*Table5[[#This Row],[Hours]],2)</f>
        <v>0</v>
      </c>
      <c r="H175" s="47"/>
      <c r="I175" s="51"/>
      <c r="J175" s="50"/>
      <c r="K175" s="49"/>
      <c r="L175" s="48" t="str">
        <f>IF(AND(LEN(K175)&gt;0,D175="APPROVED"),VLOOKUP(Table5[[#This Row],[COMPLETION %]],COMPL_STATUS,2,1),"")</f>
        <v/>
      </c>
      <c r="M175" s="47"/>
      <c r="N175" s="47"/>
      <c r="O175" s="46"/>
    </row>
    <row r="176" spans="3:15" s="55" customFormat="1" ht="15">
      <c r="C176" s="54"/>
      <c r="D176" s="54"/>
      <c r="E176" s="53"/>
      <c r="F176" s="53"/>
      <c r="G176" s="52">
        <f>ROUND($C$16*Table5[[#This Row],[Hours]],2)</f>
        <v>0</v>
      </c>
      <c r="H176" s="47"/>
      <c r="I176" s="51"/>
      <c r="J176" s="50"/>
      <c r="K176" s="49"/>
      <c r="L176" s="48" t="str">
        <f>IF(AND(LEN(K176)&gt;0,D176="APPROVED"),VLOOKUP(Table5[[#This Row],[COMPLETION %]],COMPL_STATUS,2,1),"")</f>
        <v/>
      </c>
      <c r="M176" s="47"/>
      <c r="N176" s="47"/>
      <c r="O176" s="46"/>
    </row>
    <row r="177" spans="3:15" s="55" customFormat="1" ht="15">
      <c r="C177" s="54"/>
      <c r="D177" s="54"/>
      <c r="E177" s="53"/>
      <c r="F177" s="53"/>
      <c r="G177" s="52">
        <f>ROUND($C$16*Table5[[#This Row],[Hours]],2)</f>
        <v>0</v>
      </c>
      <c r="H177" s="47"/>
      <c r="I177" s="51"/>
      <c r="J177" s="50"/>
      <c r="K177" s="49"/>
      <c r="L177" s="48" t="str">
        <f>IF(AND(LEN(K177)&gt;0,D177="APPROVED"),VLOOKUP(Table5[[#This Row],[COMPLETION %]],COMPL_STATUS,2,1),"")</f>
        <v/>
      </c>
      <c r="M177" s="47"/>
      <c r="N177" s="47"/>
      <c r="O177" s="46"/>
    </row>
    <row r="178" spans="3:15" s="55" customFormat="1" ht="15">
      <c r="C178" s="54"/>
      <c r="D178" s="54"/>
      <c r="E178" s="53"/>
      <c r="F178" s="53"/>
      <c r="G178" s="52">
        <f>ROUND($C$16*Table5[[#This Row],[Hours]],2)</f>
        <v>0</v>
      </c>
      <c r="H178" s="47"/>
      <c r="I178" s="51"/>
      <c r="J178" s="50"/>
      <c r="K178" s="49"/>
      <c r="L178" s="48" t="str">
        <f>IF(AND(LEN(K178)&gt;0,D178="APPROVED"),VLOOKUP(Table5[[#This Row],[COMPLETION %]],COMPL_STATUS,2,1),"")</f>
        <v/>
      </c>
      <c r="M178" s="47"/>
      <c r="N178" s="47"/>
      <c r="O178" s="46"/>
    </row>
    <row r="179" spans="3:15" s="55" customFormat="1" ht="15">
      <c r="C179" s="54"/>
      <c r="D179" s="54"/>
      <c r="E179" s="53"/>
      <c r="F179" s="53"/>
      <c r="G179" s="52">
        <f>ROUND($C$16*Table5[[#This Row],[Hours]],2)</f>
        <v>0</v>
      </c>
      <c r="H179" s="47"/>
      <c r="I179" s="51"/>
      <c r="J179" s="50"/>
      <c r="K179" s="49"/>
      <c r="L179" s="48" t="str">
        <f>IF(AND(LEN(K179)&gt;0,D179="APPROVED"),VLOOKUP(Table5[[#This Row],[COMPLETION %]],COMPL_STATUS,2,1),"")</f>
        <v/>
      </c>
      <c r="M179" s="47"/>
      <c r="N179" s="47"/>
      <c r="O179" s="46"/>
    </row>
    <row r="180" spans="3:15" s="55" customFormat="1" ht="15">
      <c r="C180" s="54"/>
      <c r="D180" s="54"/>
      <c r="E180" s="53"/>
      <c r="F180" s="53"/>
      <c r="G180" s="52">
        <f>ROUND($C$16*Table5[[#This Row],[Hours]],2)</f>
        <v>0</v>
      </c>
      <c r="H180" s="47"/>
      <c r="I180" s="51"/>
      <c r="J180" s="50"/>
      <c r="K180" s="49"/>
      <c r="L180" s="48" t="str">
        <f>IF(AND(LEN(K180)&gt;0,D180="APPROVED"),VLOOKUP(Table5[[#This Row],[COMPLETION %]],COMPL_STATUS,2,1),"")</f>
        <v/>
      </c>
      <c r="M180" s="47"/>
      <c r="N180" s="47"/>
      <c r="O180" s="46"/>
    </row>
    <row r="181" spans="3:15" s="55" customFormat="1" ht="15">
      <c r="C181" s="54"/>
      <c r="D181" s="54"/>
      <c r="E181" s="53"/>
      <c r="F181" s="53"/>
      <c r="G181" s="52">
        <f>ROUND($C$16*Table5[[#This Row],[Hours]],2)</f>
        <v>0</v>
      </c>
      <c r="H181" s="47"/>
      <c r="I181" s="51"/>
      <c r="J181" s="50"/>
      <c r="K181" s="49"/>
      <c r="L181" s="48" t="str">
        <f>IF(AND(LEN(K181)&gt;0,D181="APPROVED"),VLOOKUP(Table5[[#This Row],[COMPLETION %]],COMPL_STATUS,2,1),"")</f>
        <v/>
      </c>
      <c r="M181" s="47"/>
      <c r="N181" s="47"/>
      <c r="O181" s="46"/>
    </row>
    <row r="182" spans="3:15" s="55" customFormat="1" ht="15">
      <c r="C182" s="54"/>
      <c r="D182" s="54"/>
      <c r="E182" s="53"/>
      <c r="F182" s="53"/>
      <c r="G182" s="52">
        <f>ROUND($C$16*Table5[[#This Row],[Hours]],2)</f>
        <v>0</v>
      </c>
      <c r="H182" s="47"/>
      <c r="I182" s="51"/>
      <c r="J182" s="50"/>
      <c r="K182" s="49"/>
      <c r="L182" s="48" t="str">
        <f>IF(AND(LEN(K182)&gt;0,D182="APPROVED"),VLOOKUP(Table5[[#This Row],[COMPLETION %]],COMPL_STATUS,2,1),"")</f>
        <v/>
      </c>
      <c r="M182" s="47"/>
      <c r="N182" s="47"/>
      <c r="O182" s="46"/>
    </row>
    <row r="183" spans="3:15" s="55" customFormat="1" ht="15">
      <c r="C183" s="54"/>
      <c r="D183" s="54"/>
      <c r="E183" s="53"/>
      <c r="F183" s="53"/>
      <c r="G183" s="52">
        <f>ROUND($C$16*Table5[[#This Row],[Hours]],2)</f>
        <v>0</v>
      </c>
      <c r="H183" s="47"/>
      <c r="I183" s="51"/>
      <c r="J183" s="50"/>
      <c r="K183" s="49"/>
      <c r="L183" s="48" t="str">
        <f>IF(AND(LEN(K183)&gt;0,D183="APPROVED"),VLOOKUP(Table5[[#This Row],[COMPLETION %]],COMPL_STATUS,2,1),"")</f>
        <v/>
      </c>
      <c r="M183" s="47"/>
      <c r="N183" s="47"/>
      <c r="O183" s="46"/>
    </row>
    <row r="184" spans="3:15" s="55" customFormat="1" ht="15">
      <c r="C184" s="54"/>
      <c r="D184" s="54"/>
      <c r="E184" s="53"/>
      <c r="F184" s="53"/>
      <c r="G184" s="52">
        <f>ROUND($C$16*Table5[[#This Row],[Hours]],2)</f>
        <v>0</v>
      </c>
      <c r="H184" s="47"/>
      <c r="I184" s="51"/>
      <c r="J184" s="50"/>
      <c r="K184" s="49"/>
      <c r="L184" s="48" t="str">
        <f>IF(AND(LEN(K184)&gt;0,D184="APPROVED"),VLOOKUP(Table5[[#This Row],[COMPLETION %]],COMPL_STATUS,2,1),"")</f>
        <v/>
      </c>
      <c r="M184" s="47"/>
      <c r="N184" s="47"/>
      <c r="O184" s="46"/>
    </row>
    <row r="185" spans="3:15" s="55" customFormat="1" ht="15">
      <c r="C185" s="54"/>
      <c r="D185" s="54"/>
      <c r="E185" s="53"/>
      <c r="F185" s="53"/>
      <c r="G185" s="52">
        <f>ROUND($C$16*Table5[[#This Row],[Hours]],2)</f>
        <v>0</v>
      </c>
      <c r="H185" s="47"/>
      <c r="I185" s="51"/>
      <c r="J185" s="50"/>
      <c r="K185" s="49"/>
      <c r="L185" s="48" t="str">
        <f>IF(AND(LEN(K185)&gt;0,D185="APPROVED"),VLOOKUP(Table5[[#This Row],[COMPLETION %]],COMPL_STATUS,2,1),"")</f>
        <v/>
      </c>
      <c r="M185" s="47"/>
      <c r="N185" s="47"/>
      <c r="O185" s="46"/>
    </row>
    <row r="186" spans="3:15" s="55" customFormat="1" ht="15">
      <c r="C186" s="54"/>
      <c r="D186" s="54"/>
      <c r="E186" s="53"/>
      <c r="F186" s="53"/>
      <c r="G186" s="52">
        <f>ROUND($C$16*Table5[[#This Row],[Hours]],2)</f>
        <v>0</v>
      </c>
      <c r="H186" s="47"/>
      <c r="I186" s="51"/>
      <c r="J186" s="50"/>
      <c r="K186" s="49"/>
      <c r="L186" s="48" t="str">
        <f>IF(AND(LEN(K186)&gt;0,D186="APPROVED"),VLOOKUP(Table5[[#This Row],[COMPLETION %]],COMPL_STATUS,2,1),"")</f>
        <v/>
      </c>
      <c r="M186" s="47"/>
      <c r="N186" s="47"/>
      <c r="O186" s="46"/>
    </row>
    <row r="187" spans="3:15" s="55" customFormat="1" ht="15">
      <c r="C187" s="54"/>
      <c r="D187" s="54"/>
      <c r="E187" s="53"/>
      <c r="F187" s="53"/>
      <c r="G187" s="52">
        <f>ROUND($C$16*Table5[[#This Row],[Hours]],2)</f>
        <v>0</v>
      </c>
      <c r="H187" s="47"/>
      <c r="I187" s="51"/>
      <c r="J187" s="50"/>
      <c r="K187" s="49"/>
      <c r="L187" s="48" t="str">
        <f>IF(AND(LEN(K187)&gt;0,D187="APPROVED"),VLOOKUP(Table5[[#This Row],[COMPLETION %]],COMPL_STATUS,2,1),"")</f>
        <v/>
      </c>
      <c r="M187" s="47"/>
      <c r="N187" s="47"/>
      <c r="O187" s="46"/>
    </row>
    <row r="188" spans="3:15" s="55" customFormat="1" ht="15">
      <c r="C188" s="54"/>
      <c r="D188" s="54"/>
      <c r="E188" s="53"/>
      <c r="F188" s="53"/>
      <c r="G188" s="52">
        <f>ROUND($C$16*Table5[[#This Row],[Hours]],2)</f>
        <v>0</v>
      </c>
      <c r="H188" s="47"/>
      <c r="I188" s="51"/>
      <c r="J188" s="50"/>
      <c r="K188" s="49"/>
      <c r="L188" s="48" t="str">
        <f>IF(AND(LEN(K188)&gt;0,D188="APPROVED"),VLOOKUP(Table5[[#This Row],[COMPLETION %]],COMPL_STATUS,2,1),"")</f>
        <v/>
      </c>
      <c r="M188" s="47"/>
      <c r="N188" s="47"/>
      <c r="O188" s="46"/>
    </row>
    <row r="189" spans="3:15" s="55" customFormat="1" ht="15">
      <c r="C189" s="54"/>
      <c r="D189" s="54"/>
      <c r="E189" s="53"/>
      <c r="F189" s="53"/>
      <c r="G189" s="52">
        <f>ROUND($C$16*Table5[[#This Row],[Hours]],2)</f>
        <v>0</v>
      </c>
      <c r="H189" s="47"/>
      <c r="I189" s="51"/>
      <c r="J189" s="50"/>
      <c r="K189" s="49"/>
      <c r="L189" s="48" t="str">
        <f>IF(AND(LEN(K189)&gt;0,D189="APPROVED"),VLOOKUP(Table5[[#This Row],[COMPLETION %]],COMPL_STATUS,2,1),"")</f>
        <v/>
      </c>
      <c r="M189" s="47"/>
      <c r="N189" s="47"/>
      <c r="O189" s="46"/>
    </row>
    <row r="190" spans="3:15" s="55" customFormat="1" ht="15">
      <c r="C190" s="54"/>
      <c r="D190" s="54"/>
      <c r="E190" s="53"/>
      <c r="F190" s="53"/>
      <c r="G190" s="52">
        <f>ROUND($C$16*Table5[[#This Row],[Hours]],2)</f>
        <v>0</v>
      </c>
      <c r="H190" s="47"/>
      <c r="I190" s="51"/>
      <c r="J190" s="50"/>
      <c r="K190" s="49"/>
      <c r="L190" s="48" t="str">
        <f>IF(AND(LEN(K190)&gt;0,D190="APPROVED"),VLOOKUP(Table5[[#This Row],[COMPLETION %]],COMPL_STATUS,2,1),"")</f>
        <v/>
      </c>
      <c r="M190" s="47"/>
      <c r="N190" s="47"/>
      <c r="O190" s="46"/>
    </row>
    <row r="191" spans="3:15" s="55" customFormat="1" ht="15">
      <c r="C191" s="54"/>
      <c r="D191" s="54"/>
      <c r="E191" s="53"/>
      <c r="F191" s="53"/>
      <c r="G191" s="52">
        <f>ROUND($C$16*Table5[[#This Row],[Hours]],2)</f>
        <v>0</v>
      </c>
      <c r="H191" s="47"/>
      <c r="I191" s="51"/>
      <c r="J191" s="50"/>
      <c r="K191" s="49"/>
      <c r="L191" s="48" t="str">
        <f>IF(AND(LEN(K191)&gt;0,D191="APPROVED"),VLOOKUP(Table5[[#This Row],[COMPLETION %]],COMPL_STATUS,2,1),"")</f>
        <v/>
      </c>
      <c r="M191" s="47"/>
      <c r="N191" s="47"/>
      <c r="O191" s="46"/>
    </row>
    <row r="192" spans="3:15" s="55" customFormat="1" ht="15">
      <c r="C192" s="54"/>
      <c r="D192" s="54"/>
      <c r="E192" s="53"/>
      <c r="F192" s="53"/>
      <c r="G192" s="52">
        <f>ROUND($C$16*Table5[[#This Row],[Hours]],2)</f>
        <v>0</v>
      </c>
      <c r="H192" s="47"/>
      <c r="I192" s="51"/>
      <c r="J192" s="50"/>
      <c r="K192" s="49"/>
      <c r="L192" s="48" t="str">
        <f>IF(AND(LEN(K192)&gt;0,D192="APPROVED"),VLOOKUP(Table5[[#This Row],[COMPLETION %]],COMPL_STATUS,2,1),"")</f>
        <v/>
      </c>
      <c r="M192" s="47"/>
      <c r="N192" s="47"/>
      <c r="O192" s="46"/>
    </row>
    <row r="193" spans="3:15" s="55" customFormat="1" ht="15">
      <c r="C193" s="54"/>
      <c r="D193" s="54"/>
      <c r="E193" s="53"/>
      <c r="F193" s="53"/>
      <c r="G193" s="52">
        <f>ROUND($C$16*Table5[[#This Row],[Hours]],2)</f>
        <v>0</v>
      </c>
      <c r="H193" s="47"/>
      <c r="I193" s="51"/>
      <c r="J193" s="50"/>
      <c r="K193" s="49"/>
      <c r="L193" s="48" t="str">
        <f>IF(AND(LEN(K193)&gt;0,D193="APPROVED"),VLOOKUP(Table5[[#This Row],[COMPLETION %]],COMPL_STATUS,2,1),"")</f>
        <v/>
      </c>
      <c r="M193" s="47"/>
      <c r="N193" s="47"/>
      <c r="O193" s="46"/>
    </row>
    <row r="194" spans="3:15" s="55" customFormat="1" ht="15">
      <c r="C194" s="54"/>
      <c r="D194" s="54"/>
      <c r="E194" s="53"/>
      <c r="F194" s="53"/>
      <c r="G194" s="52">
        <f>ROUND($C$16*Table5[[#This Row],[Hours]],2)</f>
        <v>0</v>
      </c>
      <c r="H194" s="47"/>
      <c r="I194" s="51"/>
      <c r="J194" s="50"/>
      <c r="K194" s="49"/>
      <c r="L194" s="48" t="str">
        <f>IF(AND(LEN(K194)&gt;0,D194="APPROVED"),VLOOKUP(Table5[[#This Row],[COMPLETION %]],COMPL_STATUS,2,1),"")</f>
        <v/>
      </c>
      <c r="M194" s="47"/>
      <c r="N194" s="47"/>
      <c r="O194" s="46"/>
    </row>
    <row r="195" spans="3:15" s="55" customFormat="1" ht="15">
      <c r="C195" s="54"/>
      <c r="D195" s="54"/>
      <c r="E195" s="53"/>
      <c r="F195" s="53"/>
      <c r="G195" s="52">
        <f>ROUND($C$16*Table5[[#This Row],[Hours]],2)</f>
        <v>0</v>
      </c>
      <c r="H195" s="47"/>
      <c r="I195" s="51"/>
      <c r="J195" s="50"/>
      <c r="K195" s="49"/>
      <c r="L195" s="48" t="str">
        <f>IF(AND(LEN(K195)&gt;0,D195="APPROVED"),VLOOKUP(Table5[[#This Row],[COMPLETION %]],COMPL_STATUS,2,1),"")</f>
        <v/>
      </c>
      <c r="M195" s="47"/>
      <c r="N195" s="47"/>
      <c r="O195" s="46"/>
    </row>
    <row r="196" spans="3:15" s="55" customFormat="1" ht="15">
      <c r="C196" s="54"/>
      <c r="D196" s="54"/>
      <c r="E196" s="53"/>
      <c r="F196" s="53"/>
      <c r="G196" s="52">
        <f>ROUND($C$16*Table5[[#This Row],[Hours]],2)</f>
        <v>0</v>
      </c>
      <c r="H196" s="47"/>
      <c r="I196" s="51"/>
      <c r="J196" s="50"/>
      <c r="K196" s="49"/>
      <c r="L196" s="48" t="str">
        <f>IF(AND(LEN(K196)&gt;0,D196="APPROVED"),VLOOKUP(Table5[[#This Row],[COMPLETION %]],COMPL_STATUS,2,1),"")</f>
        <v/>
      </c>
      <c r="M196" s="47"/>
      <c r="N196" s="47"/>
      <c r="O196" s="46"/>
    </row>
    <row r="197" spans="3:15" s="55" customFormat="1" ht="15">
      <c r="C197" s="54"/>
      <c r="D197" s="54"/>
      <c r="E197" s="53"/>
      <c r="F197" s="53"/>
      <c r="G197" s="52">
        <f>ROUND($C$16*Table5[[#This Row],[Hours]],2)</f>
        <v>0</v>
      </c>
      <c r="H197" s="47"/>
      <c r="I197" s="51"/>
      <c r="J197" s="50"/>
      <c r="K197" s="49"/>
      <c r="L197" s="48" t="str">
        <f>IF(AND(LEN(K197)&gt;0,D197="APPROVED"),VLOOKUP(Table5[[#This Row],[COMPLETION %]],COMPL_STATUS,2,1),"")</f>
        <v/>
      </c>
      <c r="M197" s="47"/>
      <c r="N197" s="47"/>
      <c r="O197" s="46"/>
    </row>
    <row r="198" spans="3:15" s="55" customFormat="1" ht="15">
      <c r="C198" s="54"/>
      <c r="D198" s="54"/>
      <c r="E198" s="53"/>
      <c r="F198" s="53"/>
      <c r="G198" s="52">
        <f>ROUND($C$16*Table5[[#This Row],[Hours]],2)</f>
        <v>0</v>
      </c>
      <c r="H198" s="47"/>
      <c r="I198" s="51"/>
      <c r="J198" s="50"/>
      <c r="K198" s="49"/>
      <c r="L198" s="48" t="str">
        <f>IF(AND(LEN(K198)&gt;0,D198="APPROVED"),VLOOKUP(Table5[[#This Row],[COMPLETION %]],COMPL_STATUS,2,1),"")</f>
        <v/>
      </c>
      <c r="M198" s="47"/>
      <c r="N198" s="47"/>
      <c r="O198" s="46"/>
    </row>
    <row r="199" spans="3:15" s="55" customFormat="1" ht="15">
      <c r="C199" s="54"/>
      <c r="D199" s="54"/>
      <c r="E199" s="53"/>
      <c r="F199" s="53"/>
      <c r="G199" s="52">
        <f>ROUND($C$16*Table5[[#This Row],[Hours]],2)</f>
        <v>0</v>
      </c>
      <c r="H199" s="47"/>
      <c r="I199" s="51"/>
      <c r="J199" s="50"/>
      <c r="K199" s="49"/>
      <c r="L199" s="48" t="str">
        <f>IF(AND(LEN(K199)&gt;0,D199="APPROVED"),VLOOKUP(Table5[[#This Row],[COMPLETION %]],COMPL_STATUS,2,1),"")</f>
        <v/>
      </c>
      <c r="M199" s="47"/>
      <c r="N199" s="47"/>
      <c r="O199" s="46"/>
    </row>
    <row r="200" spans="3:15" s="55" customFormat="1" ht="15">
      <c r="C200" s="54"/>
      <c r="D200" s="54"/>
      <c r="E200" s="53"/>
      <c r="F200" s="53"/>
      <c r="G200" s="52">
        <f>ROUND($C$16*Table5[[#This Row],[Hours]],2)</f>
        <v>0</v>
      </c>
      <c r="H200" s="47"/>
      <c r="I200" s="51"/>
      <c r="J200" s="50"/>
      <c r="K200" s="49"/>
      <c r="L200" s="48" t="str">
        <f>IF(AND(LEN(K200)&gt;0,D200="APPROVED"),VLOOKUP(Table5[[#This Row],[COMPLETION %]],COMPL_STATUS,2,1),"")</f>
        <v/>
      </c>
      <c r="M200" s="47"/>
      <c r="N200" s="47"/>
      <c r="O200" s="46"/>
    </row>
    <row r="201" spans="3:15" s="55" customFormat="1" ht="15">
      <c r="C201" s="54"/>
      <c r="D201" s="54"/>
      <c r="E201" s="53"/>
      <c r="F201" s="53"/>
      <c r="G201" s="52">
        <f>ROUND($C$16*Table5[[#This Row],[Hours]],2)</f>
        <v>0</v>
      </c>
      <c r="H201" s="47"/>
      <c r="I201" s="51"/>
      <c r="J201" s="50"/>
      <c r="K201" s="49"/>
      <c r="L201" s="48" t="str">
        <f>IF(AND(LEN(K201)&gt;0,D201="APPROVED"),VLOOKUP(Table5[[#This Row],[COMPLETION %]],COMPL_STATUS,2,1),"")</f>
        <v/>
      </c>
      <c r="M201" s="47"/>
      <c r="N201" s="47"/>
      <c r="O201" s="46"/>
    </row>
    <row r="202" spans="3:15" s="55" customFormat="1" ht="15">
      <c r="C202" s="54"/>
      <c r="D202" s="54"/>
      <c r="E202" s="53"/>
      <c r="F202" s="53"/>
      <c r="G202" s="52">
        <f>ROUND($C$16*Table5[[#This Row],[Hours]],2)</f>
        <v>0</v>
      </c>
      <c r="H202" s="47"/>
      <c r="I202" s="51"/>
      <c r="J202" s="50"/>
      <c r="K202" s="49"/>
      <c r="L202" s="48" t="str">
        <f>IF(AND(LEN(K202)&gt;0,D202="APPROVED"),VLOOKUP(Table5[[#This Row],[COMPLETION %]],COMPL_STATUS,2,1),"")</f>
        <v/>
      </c>
      <c r="M202" s="47"/>
      <c r="N202" s="47"/>
      <c r="O202" s="46"/>
    </row>
    <row r="203" spans="3:15" s="55" customFormat="1" ht="15">
      <c r="C203" s="54"/>
      <c r="D203" s="54"/>
      <c r="E203" s="53"/>
      <c r="F203" s="53"/>
      <c r="G203" s="52">
        <f>ROUND($C$16*Table5[[#This Row],[Hours]],2)</f>
        <v>0</v>
      </c>
      <c r="H203" s="47"/>
      <c r="I203" s="51"/>
      <c r="J203" s="50"/>
      <c r="K203" s="49"/>
      <c r="L203" s="48" t="str">
        <f>IF(AND(LEN(K203)&gt;0,D203="APPROVED"),VLOOKUP(Table5[[#This Row],[COMPLETION %]],COMPL_STATUS,2,1),"")</f>
        <v/>
      </c>
      <c r="M203" s="47"/>
      <c r="N203" s="47"/>
      <c r="O203" s="46"/>
    </row>
    <row r="204" spans="3:15" s="55" customFormat="1" ht="15">
      <c r="C204" s="54"/>
      <c r="D204" s="54"/>
      <c r="E204" s="53"/>
      <c r="F204" s="53"/>
      <c r="G204" s="52">
        <f>ROUND($C$16*Table5[[#This Row],[Hours]],2)</f>
        <v>0</v>
      </c>
      <c r="H204" s="47"/>
      <c r="I204" s="51"/>
      <c r="J204" s="50"/>
      <c r="K204" s="49"/>
      <c r="L204" s="48" t="str">
        <f>IF(AND(LEN(K204)&gt;0,D204="APPROVED"),VLOOKUP(Table5[[#This Row],[COMPLETION %]],COMPL_STATUS,2,1),"")</f>
        <v/>
      </c>
      <c r="M204" s="47"/>
      <c r="N204" s="47"/>
      <c r="O204" s="46"/>
    </row>
    <row r="205" spans="3:15" s="55" customFormat="1" ht="15">
      <c r="C205" s="54"/>
      <c r="D205" s="54"/>
      <c r="E205" s="53"/>
      <c r="F205" s="53"/>
      <c r="G205" s="52">
        <f>ROUND($C$16*Table5[[#This Row],[Hours]],2)</f>
        <v>0</v>
      </c>
      <c r="H205" s="47"/>
      <c r="I205" s="51"/>
      <c r="J205" s="50"/>
      <c r="K205" s="49"/>
      <c r="L205" s="48" t="str">
        <f>IF(AND(LEN(K205)&gt;0,D205="APPROVED"),VLOOKUP(Table5[[#This Row],[COMPLETION %]],COMPL_STATUS,2,1),"")</f>
        <v/>
      </c>
      <c r="M205" s="47"/>
      <c r="N205" s="47"/>
      <c r="O205" s="46"/>
    </row>
    <row r="206" spans="3:15" s="55" customFormat="1" ht="15">
      <c r="C206" s="54"/>
      <c r="D206" s="54"/>
      <c r="E206" s="53"/>
      <c r="F206" s="53"/>
      <c r="G206" s="52">
        <f>ROUND($C$16*Table5[[#This Row],[Hours]],2)</f>
        <v>0</v>
      </c>
      <c r="H206" s="47"/>
      <c r="I206" s="51"/>
      <c r="J206" s="50"/>
      <c r="K206" s="49"/>
      <c r="L206" s="48" t="str">
        <f>IF(AND(LEN(K206)&gt;0,D206="APPROVED"),VLOOKUP(Table5[[#This Row],[COMPLETION %]],COMPL_STATUS,2,1),"")</f>
        <v/>
      </c>
      <c r="M206" s="47"/>
      <c r="N206" s="47"/>
      <c r="O206" s="46"/>
    </row>
    <row r="207" spans="3:15" s="55" customFormat="1" ht="15">
      <c r="C207" s="54"/>
      <c r="D207" s="54"/>
      <c r="E207" s="53"/>
      <c r="F207" s="53"/>
      <c r="G207" s="52">
        <f>ROUND($C$16*Table5[[#This Row],[Hours]],2)</f>
        <v>0</v>
      </c>
      <c r="H207" s="47"/>
      <c r="I207" s="51"/>
      <c r="J207" s="50"/>
      <c r="K207" s="49"/>
      <c r="L207" s="48" t="str">
        <f>IF(AND(LEN(K207)&gt;0,D207="APPROVED"),VLOOKUP(Table5[[#This Row],[COMPLETION %]],COMPL_STATUS,2,1),"")</f>
        <v/>
      </c>
      <c r="M207" s="47"/>
      <c r="N207" s="47"/>
      <c r="O207" s="46"/>
    </row>
    <row r="208" spans="3:15" s="55" customFormat="1" ht="15">
      <c r="C208" s="54"/>
      <c r="D208" s="54"/>
      <c r="E208" s="53"/>
      <c r="F208" s="53"/>
      <c r="G208" s="52">
        <f>ROUND($C$16*Table5[[#This Row],[Hours]],2)</f>
        <v>0</v>
      </c>
      <c r="H208" s="47"/>
      <c r="I208" s="51"/>
      <c r="J208" s="50"/>
      <c r="K208" s="49"/>
      <c r="L208" s="48" t="str">
        <f>IF(AND(LEN(K208)&gt;0,D208="APPROVED"),VLOOKUP(Table5[[#This Row],[COMPLETION %]],COMPL_STATUS,2,1),"")</f>
        <v/>
      </c>
      <c r="M208" s="47"/>
      <c r="N208" s="47"/>
      <c r="O208" s="46"/>
    </row>
    <row r="209" spans="3:15" s="55" customFormat="1" ht="15">
      <c r="C209" s="54"/>
      <c r="D209" s="54"/>
      <c r="E209" s="53"/>
      <c r="F209" s="53"/>
      <c r="G209" s="52">
        <f>ROUND($C$16*Table5[[#This Row],[Hours]],2)</f>
        <v>0</v>
      </c>
      <c r="H209" s="47"/>
      <c r="I209" s="51"/>
      <c r="J209" s="50"/>
      <c r="K209" s="49"/>
      <c r="L209" s="48" t="str">
        <f>IF(AND(LEN(K209)&gt;0,D209="APPROVED"),VLOOKUP(Table5[[#This Row],[COMPLETION %]],COMPL_STATUS,2,1),"")</f>
        <v/>
      </c>
      <c r="M209" s="47"/>
      <c r="N209" s="47"/>
      <c r="O209" s="46"/>
    </row>
    <row r="210" spans="3:15" s="55" customFormat="1" ht="15">
      <c r="C210" s="54"/>
      <c r="D210" s="54"/>
      <c r="E210" s="53"/>
      <c r="F210" s="53"/>
      <c r="G210" s="52">
        <f>ROUND($C$16*Table5[[#This Row],[Hours]],2)</f>
        <v>0</v>
      </c>
      <c r="H210" s="47"/>
      <c r="I210" s="51"/>
      <c r="J210" s="50"/>
      <c r="K210" s="49"/>
      <c r="L210" s="48" t="str">
        <f>IF(AND(LEN(K210)&gt;0,D210="APPROVED"),VLOOKUP(Table5[[#This Row],[COMPLETION %]],COMPL_STATUS,2,1),"")</f>
        <v/>
      </c>
      <c r="M210" s="47"/>
      <c r="N210" s="47"/>
      <c r="O210" s="46"/>
    </row>
    <row r="211" spans="3:15" s="55" customFormat="1" ht="15">
      <c r="C211" s="54"/>
      <c r="D211" s="54"/>
      <c r="E211" s="53"/>
      <c r="F211" s="53"/>
      <c r="G211" s="52">
        <f>ROUND($C$16*Table5[[#This Row],[Hours]],2)</f>
        <v>0</v>
      </c>
      <c r="H211" s="47"/>
      <c r="I211" s="51"/>
      <c r="J211" s="50"/>
      <c r="K211" s="49"/>
      <c r="L211" s="48" t="str">
        <f>IF(AND(LEN(K211)&gt;0,D211="APPROVED"),VLOOKUP(Table5[[#This Row],[COMPLETION %]],COMPL_STATUS,2,1),"")</f>
        <v/>
      </c>
      <c r="M211" s="47"/>
      <c r="N211" s="47"/>
      <c r="O211" s="46"/>
    </row>
    <row r="212" spans="3:15" s="55" customFormat="1" ht="15">
      <c r="C212" s="54"/>
      <c r="D212" s="54"/>
      <c r="E212" s="53"/>
      <c r="F212" s="53"/>
      <c r="G212" s="52">
        <f>ROUND($C$16*Table5[[#This Row],[Hours]],2)</f>
        <v>0</v>
      </c>
      <c r="H212" s="47"/>
      <c r="I212" s="51"/>
      <c r="J212" s="50"/>
      <c r="K212" s="49"/>
      <c r="L212" s="48" t="str">
        <f>IF(AND(LEN(K212)&gt;0,D212="APPROVED"),VLOOKUP(Table5[[#This Row],[COMPLETION %]],COMPL_STATUS,2,1),"")</f>
        <v/>
      </c>
      <c r="M212" s="47"/>
      <c r="N212" s="47"/>
      <c r="O212" s="46"/>
    </row>
    <row r="213" spans="3:15" s="55" customFormat="1" ht="15">
      <c r="C213" s="54"/>
      <c r="D213" s="54"/>
      <c r="E213" s="53"/>
      <c r="F213" s="53"/>
      <c r="G213" s="52">
        <f>ROUND($C$16*Table5[[#This Row],[Hours]],2)</f>
        <v>0</v>
      </c>
      <c r="H213" s="47"/>
      <c r="I213" s="51"/>
      <c r="J213" s="50"/>
      <c r="K213" s="49"/>
      <c r="L213" s="48" t="str">
        <f>IF(AND(LEN(K213)&gt;0,D213="APPROVED"),VLOOKUP(Table5[[#This Row],[COMPLETION %]],COMPL_STATUS,2,1),"")</f>
        <v/>
      </c>
      <c r="M213" s="47"/>
      <c r="N213" s="47"/>
      <c r="O213" s="46"/>
    </row>
    <row r="214" spans="3:15" s="55" customFormat="1" ht="15">
      <c r="C214" s="54"/>
      <c r="D214" s="54"/>
      <c r="E214" s="53"/>
      <c r="F214" s="53"/>
      <c r="G214" s="52">
        <f>ROUND($C$16*Table5[[#This Row],[Hours]],2)</f>
        <v>0</v>
      </c>
      <c r="H214" s="47"/>
      <c r="I214" s="51"/>
      <c r="J214" s="50"/>
      <c r="K214" s="49"/>
      <c r="L214" s="48" t="str">
        <f>IF(AND(LEN(K214)&gt;0,D214="APPROVED"),VLOOKUP(Table5[[#This Row],[COMPLETION %]],COMPL_STATUS,2,1),"")</f>
        <v/>
      </c>
      <c r="M214" s="47"/>
      <c r="N214" s="47"/>
      <c r="O214" s="46"/>
    </row>
    <row r="215" spans="3:15" s="55" customFormat="1" ht="15">
      <c r="C215" s="54"/>
      <c r="D215" s="54"/>
      <c r="E215" s="53"/>
      <c r="F215" s="53"/>
      <c r="G215" s="52">
        <f>ROUND($C$16*Table5[[#This Row],[Hours]],2)</f>
        <v>0</v>
      </c>
      <c r="H215" s="47"/>
      <c r="I215" s="51"/>
      <c r="J215" s="50"/>
      <c r="K215" s="49"/>
      <c r="L215" s="48" t="str">
        <f>IF(AND(LEN(K215)&gt;0,D215="APPROVED"),VLOOKUP(Table5[[#This Row],[COMPLETION %]],COMPL_STATUS,2,1),"")</f>
        <v/>
      </c>
      <c r="M215" s="47"/>
      <c r="N215" s="47"/>
      <c r="O215" s="46"/>
    </row>
    <row r="216" spans="3:15" s="55" customFormat="1" ht="15">
      <c r="C216" s="54"/>
      <c r="D216" s="54"/>
      <c r="E216" s="53"/>
      <c r="F216" s="53"/>
      <c r="G216" s="52">
        <f>ROUND($C$16*Table5[[#This Row],[Hours]],2)</f>
        <v>0</v>
      </c>
      <c r="H216" s="47"/>
      <c r="I216" s="51"/>
      <c r="J216" s="50"/>
      <c r="K216" s="49"/>
      <c r="L216" s="48" t="str">
        <f>IF(AND(LEN(K216)&gt;0,D216="APPROVED"),VLOOKUP(Table5[[#This Row],[COMPLETION %]],COMPL_STATUS,2,1),"")</f>
        <v/>
      </c>
      <c r="M216" s="47"/>
      <c r="N216" s="47"/>
      <c r="O216" s="46"/>
    </row>
    <row r="217" spans="3:15" s="55" customFormat="1" ht="15">
      <c r="C217" s="54"/>
      <c r="D217" s="54"/>
      <c r="E217" s="53"/>
      <c r="F217" s="53"/>
      <c r="G217" s="52">
        <f>ROUND($C$16*Table5[[#This Row],[Hours]],2)</f>
        <v>0</v>
      </c>
      <c r="H217" s="47"/>
      <c r="I217" s="51"/>
      <c r="J217" s="50"/>
      <c r="K217" s="49"/>
      <c r="L217" s="48" t="str">
        <f>IF(AND(LEN(K217)&gt;0,D217="APPROVED"),VLOOKUP(Table5[[#This Row],[COMPLETION %]],COMPL_STATUS,2,1),"")</f>
        <v/>
      </c>
      <c r="M217" s="47"/>
      <c r="N217" s="47"/>
      <c r="O217" s="46"/>
    </row>
    <row r="218" spans="3:15" s="55" customFormat="1" ht="15">
      <c r="C218" s="54"/>
      <c r="D218" s="54"/>
      <c r="E218" s="53"/>
      <c r="F218" s="53"/>
      <c r="G218" s="52">
        <f>ROUND($C$16*Table5[[#This Row],[Hours]],2)</f>
        <v>0</v>
      </c>
      <c r="H218" s="47"/>
      <c r="I218" s="51"/>
      <c r="J218" s="50"/>
      <c r="K218" s="49"/>
      <c r="L218" s="48" t="str">
        <f>IF(AND(LEN(K218)&gt;0,D218="APPROVED"),VLOOKUP(Table5[[#This Row],[COMPLETION %]],COMPL_STATUS,2,1),"")</f>
        <v/>
      </c>
      <c r="M218" s="47"/>
      <c r="N218" s="47"/>
      <c r="O218" s="46"/>
    </row>
    <row r="219" spans="3:15" s="55" customFormat="1" ht="15">
      <c r="C219" s="54"/>
      <c r="D219" s="54"/>
      <c r="E219" s="53"/>
      <c r="F219" s="53"/>
      <c r="G219" s="52">
        <f>ROUND($C$16*Table5[[#This Row],[Hours]],2)</f>
        <v>0</v>
      </c>
      <c r="H219" s="47"/>
      <c r="I219" s="51"/>
      <c r="J219" s="50"/>
      <c r="K219" s="49"/>
      <c r="L219" s="48" t="str">
        <f>IF(AND(LEN(K219)&gt;0,D219="APPROVED"),VLOOKUP(Table5[[#This Row],[COMPLETION %]],COMPL_STATUS,2,1),"")</f>
        <v/>
      </c>
      <c r="M219" s="47"/>
      <c r="N219" s="47"/>
      <c r="O219" s="46"/>
    </row>
    <row r="220" spans="3:15" s="55" customFormat="1" ht="15">
      <c r="C220" s="54"/>
      <c r="D220" s="54"/>
      <c r="E220" s="53"/>
      <c r="F220" s="53"/>
      <c r="G220" s="52">
        <f>ROUND($C$16*Table5[[#This Row],[Hours]],2)</f>
        <v>0</v>
      </c>
      <c r="H220" s="47"/>
      <c r="I220" s="51"/>
      <c r="J220" s="50"/>
      <c r="K220" s="49"/>
      <c r="L220" s="48" t="str">
        <f>IF(AND(LEN(K220)&gt;0,D220="APPROVED"),VLOOKUP(Table5[[#This Row],[COMPLETION %]],COMPL_STATUS,2,1),"")</f>
        <v/>
      </c>
      <c r="M220" s="47"/>
      <c r="N220" s="47"/>
      <c r="O220" s="46"/>
    </row>
    <row r="221" spans="3:15" s="55" customFormat="1" ht="15">
      <c r="C221" s="54"/>
      <c r="D221" s="54"/>
      <c r="E221" s="53"/>
      <c r="F221" s="53"/>
      <c r="G221" s="52">
        <f>ROUND($C$16*Table5[[#This Row],[Hours]],2)</f>
        <v>0</v>
      </c>
      <c r="H221" s="47"/>
      <c r="I221" s="51"/>
      <c r="J221" s="50"/>
      <c r="K221" s="49"/>
      <c r="L221" s="48" t="str">
        <f>IF(AND(LEN(K221)&gt;0,D221="APPROVED"),VLOOKUP(Table5[[#This Row],[COMPLETION %]],COMPL_STATUS,2,1),"")</f>
        <v/>
      </c>
      <c r="M221" s="47"/>
      <c r="N221" s="47"/>
      <c r="O221" s="46"/>
    </row>
    <row r="222" spans="3:15" s="55" customFormat="1" ht="15">
      <c r="C222" s="54"/>
      <c r="D222" s="54"/>
      <c r="E222" s="53"/>
      <c r="F222" s="53"/>
      <c r="G222" s="52">
        <f>ROUND($C$16*Table5[[#This Row],[Hours]],2)</f>
        <v>0</v>
      </c>
      <c r="H222" s="47"/>
      <c r="I222" s="51"/>
      <c r="J222" s="50"/>
      <c r="K222" s="49"/>
      <c r="L222" s="48" t="str">
        <f>IF(AND(LEN(K222)&gt;0,D222="APPROVED"),VLOOKUP(Table5[[#This Row],[COMPLETION %]],COMPL_STATUS,2,1),"")</f>
        <v/>
      </c>
      <c r="M222" s="47"/>
      <c r="N222" s="47"/>
      <c r="O222" s="46"/>
    </row>
    <row r="223" spans="3:15" s="55" customFormat="1" ht="15">
      <c r="C223" s="54"/>
      <c r="D223" s="54"/>
      <c r="E223" s="53"/>
      <c r="F223" s="53"/>
      <c r="G223" s="52">
        <f>ROUND($C$16*Table5[[#This Row],[Hours]],2)</f>
        <v>0</v>
      </c>
      <c r="H223" s="47"/>
      <c r="I223" s="51"/>
      <c r="J223" s="50"/>
      <c r="K223" s="49"/>
      <c r="L223" s="48" t="str">
        <f>IF(AND(LEN(K223)&gt;0,D223="APPROVED"),VLOOKUP(Table5[[#This Row],[COMPLETION %]],COMPL_STATUS,2,1),"")</f>
        <v/>
      </c>
      <c r="M223" s="47"/>
      <c r="N223" s="47"/>
      <c r="O223" s="46"/>
    </row>
    <row r="224" spans="3:15" s="55" customFormat="1" ht="15">
      <c r="C224" s="54"/>
      <c r="D224" s="54"/>
      <c r="E224" s="53"/>
      <c r="F224" s="53"/>
      <c r="G224" s="52">
        <f>ROUND($C$16*Table5[[#This Row],[Hours]],2)</f>
        <v>0</v>
      </c>
      <c r="H224" s="47"/>
      <c r="I224" s="51"/>
      <c r="J224" s="50"/>
      <c r="K224" s="49"/>
      <c r="L224" s="48" t="str">
        <f>IF(AND(LEN(K224)&gt;0,D224="APPROVED"),VLOOKUP(Table5[[#This Row],[COMPLETION %]],COMPL_STATUS,2,1),"")</f>
        <v/>
      </c>
      <c r="M224" s="47"/>
      <c r="N224" s="47"/>
      <c r="O224" s="46"/>
    </row>
    <row r="225" spans="3:15" s="55" customFormat="1" ht="15">
      <c r="C225" s="54"/>
      <c r="D225" s="54"/>
      <c r="E225" s="53"/>
      <c r="F225" s="53"/>
      <c r="G225" s="52">
        <f>ROUND($C$16*Table5[[#This Row],[Hours]],2)</f>
        <v>0</v>
      </c>
      <c r="H225" s="47"/>
      <c r="I225" s="51"/>
      <c r="J225" s="50"/>
      <c r="K225" s="49"/>
      <c r="L225" s="48" t="str">
        <f>IF(AND(LEN(K225)&gt;0,D225="APPROVED"),VLOOKUP(Table5[[#This Row],[COMPLETION %]],COMPL_STATUS,2,1),"")</f>
        <v/>
      </c>
      <c r="M225" s="47"/>
      <c r="N225" s="47"/>
      <c r="O225" s="46"/>
    </row>
    <row r="226" spans="3:15" s="55" customFormat="1" ht="15">
      <c r="C226" s="54"/>
      <c r="D226" s="54"/>
      <c r="E226" s="53"/>
      <c r="F226" s="53"/>
      <c r="G226" s="52">
        <f>ROUND($C$16*Table5[[#This Row],[Hours]],2)</f>
        <v>0</v>
      </c>
      <c r="H226" s="47"/>
      <c r="I226" s="51"/>
      <c r="J226" s="50"/>
      <c r="K226" s="49"/>
      <c r="L226" s="48" t="str">
        <f>IF(AND(LEN(K226)&gt;0,D226="APPROVED"),VLOOKUP(Table5[[#This Row],[COMPLETION %]],COMPL_STATUS,2,1),"")</f>
        <v/>
      </c>
      <c r="M226" s="47"/>
      <c r="N226" s="47"/>
      <c r="O226" s="46"/>
    </row>
    <row r="227" spans="3:15" s="55" customFormat="1" ht="15">
      <c r="C227" s="54"/>
      <c r="D227" s="54"/>
      <c r="E227" s="53"/>
      <c r="F227" s="53"/>
      <c r="G227" s="52">
        <f>ROUND($C$16*Table5[[#This Row],[Hours]],2)</f>
        <v>0</v>
      </c>
      <c r="H227" s="47"/>
      <c r="I227" s="51"/>
      <c r="J227" s="50"/>
      <c r="K227" s="49"/>
      <c r="L227" s="48" t="str">
        <f>IF(AND(LEN(K227)&gt;0,D227="APPROVED"),VLOOKUP(Table5[[#This Row],[COMPLETION %]],COMPL_STATUS,2,1),"")</f>
        <v/>
      </c>
      <c r="M227" s="47"/>
      <c r="N227" s="47"/>
      <c r="O227" s="46"/>
    </row>
    <row r="228" spans="3:15" s="55" customFormat="1" ht="15">
      <c r="C228" s="54"/>
      <c r="D228" s="54"/>
      <c r="E228" s="53"/>
      <c r="F228" s="53"/>
      <c r="G228" s="52">
        <f>ROUND($C$16*Table5[[#This Row],[Hours]],2)</f>
        <v>0</v>
      </c>
      <c r="H228" s="47"/>
      <c r="I228" s="51"/>
      <c r="J228" s="50"/>
      <c r="K228" s="49"/>
      <c r="L228" s="48" t="str">
        <f>IF(AND(LEN(K228)&gt;0,D228="APPROVED"),VLOOKUP(Table5[[#This Row],[COMPLETION %]],COMPL_STATUS,2,1),"")</f>
        <v/>
      </c>
      <c r="M228" s="47"/>
      <c r="N228" s="47"/>
      <c r="O228" s="46"/>
    </row>
    <row r="229" spans="3:15" s="55" customFormat="1" ht="15">
      <c r="C229" s="54"/>
      <c r="D229" s="54"/>
      <c r="E229" s="53"/>
      <c r="F229" s="53"/>
      <c r="G229" s="52">
        <f>ROUND($C$16*Table5[[#This Row],[Hours]],2)</f>
        <v>0</v>
      </c>
      <c r="H229" s="47"/>
      <c r="I229" s="51"/>
      <c r="J229" s="50"/>
      <c r="K229" s="49"/>
      <c r="L229" s="48" t="str">
        <f>IF(AND(LEN(K229)&gt;0,D229="APPROVED"),VLOOKUP(Table5[[#This Row],[COMPLETION %]],COMPL_STATUS,2,1),"")</f>
        <v/>
      </c>
      <c r="M229" s="47"/>
      <c r="N229" s="47"/>
      <c r="O229" s="46"/>
    </row>
    <row r="230" spans="3:15" s="55" customFormat="1" ht="15">
      <c r="C230" s="54"/>
      <c r="D230" s="54"/>
      <c r="E230" s="53"/>
      <c r="F230" s="53"/>
      <c r="G230" s="52">
        <f>ROUND($C$16*Table5[[#This Row],[Hours]],2)</f>
        <v>0</v>
      </c>
      <c r="H230" s="47"/>
      <c r="I230" s="51"/>
      <c r="J230" s="50"/>
      <c r="K230" s="49"/>
      <c r="L230" s="48" t="str">
        <f>IF(AND(LEN(K230)&gt;0,D230="APPROVED"),VLOOKUP(Table5[[#This Row],[COMPLETION %]],COMPL_STATUS,2,1),"")</f>
        <v/>
      </c>
      <c r="M230" s="47"/>
      <c r="N230" s="47"/>
      <c r="O230" s="46"/>
    </row>
    <row r="231" spans="3:15" s="55" customFormat="1" ht="15">
      <c r="C231" s="54"/>
      <c r="D231" s="54"/>
      <c r="E231" s="53"/>
      <c r="F231" s="53"/>
      <c r="G231" s="52">
        <f>ROUND($C$16*Table5[[#This Row],[Hours]],2)</f>
        <v>0</v>
      </c>
      <c r="H231" s="47"/>
      <c r="I231" s="51"/>
      <c r="J231" s="50"/>
      <c r="K231" s="49"/>
      <c r="L231" s="48" t="str">
        <f>IF(AND(LEN(K231)&gt;0,D231="APPROVED"),VLOOKUP(Table5[[#This Row],[COMPLETION %]],COMPL_STATUS,2,1),"")</f>
        <v/>
      </c>
      <c r="M231" s="47"/>
      <c r="N231" s="47"/>
      <c r="O231" s="46"/>
    </row>
    <row r="232" spans="3:15" s="55" customFormat="1" ht="15">
      <c r="C232" s="54"/>
      <c r="D232" s="54"/>
      <c r="E232" s="53"/>
      <c r="F232" s="53"/>
      <c r="G232" s="52">
        <f>ROUND($C$16*Table5[[#This Row],[Hours]],2)</f>
        <v>0</v>
      </c>
      <c r="H232" s="47"/>
      <c r="I232" s="51"/>
      <c r="J232" s="50"/>
      <c r="K232" s="49"/>
      <c r="L232" s="48" t="str">
        <f>IF(AND(LEN(K232)&gt;0,D232="APPROVED"),VLOOKUP(Table5[[#This Row],[COMPLETION %]],COMPL_STATUS,2,1),"")</f>
        <v/>
      </c>
      <c r="M232" s="47"/>
      <c r="N232" s="47"/>
      <c r="O232" s="46"/>
    </row>
    <row r="233" spans="3:15" s="55" customFormat="1" ht="15">
      <c r="C233" s="54"/>
      <c r="D233" s="54"/>
      <c r="E233" s="53"/>
      <c r="F233" s="53"/>
      <c r="G233" s="52">
        <f>ROUND($C$16*Table5[[#This Row],[Hours]],2)</f>
        <v>0</v>
      </c>
      <c r="H233" s="47"/>
      <c r="I233" s="51"/>
      <c r="J233" s="50"/>
      <c r="K233" s="49"/>
      <c r="L233" s="48" t="str">
        <f>IF(AND(LEN(K233)&gt;0,D233="APPROVED"),VLOOKUP(Table5[[#This Row],[COMPLETION %]],COMPL_STATUS,2,1),"")</f>
        <v/>
      </c>
      <c r="M233" s="47"/>
      <c r="N233" s="47"/>
      <c r="O233" s="46"/>
    </row>
    <row r="234" spans="3:15" s="55" customFormat="1" ht="15">
      <c r="C234" s="54"/>
      <c r="D234" s="54"/>
      <c r="E234" s="53"/>
      <c r="F234" s="53"/>
      <c r="G234" s="52">
        <f>ROUND($C$16*Table5[[#This Row],[Hours]],2)</f>
        <v>0</v>
      </c>
      <c r="H234" s="47"/>
      <c r="I234" s="51"/>
      <c r="J234" s="50"/>
      <c r="K234" s="49"/>
      <c r="L234" s="48" t="str">
        <f>IF(AND(LEN(K234)&gt;0,D234="APPROVED"),VLOOKUP(Table5[[#This Row],[COMPLETION %]],COMPL_STATUS,2,1),"")</f>
        <v/>
      </c>
      <c r="M234" s="47"/>
      <c r="N234" s="47"/>
      <c r="O234" s="46"/>
    </row>
    <row r="235" spans="3:15" s="55" customFormat="1" ht="15">
      <c r="C235" s="54"/>
      <c r="D235" s="54"/>
      <c r="E235" s="53"/>
      <c r="F235" s="53"/>
      <c r="G235" s="52">
        <f>ROUND($C$16*Table5[[#This Row],[Hours]],2)</f>
        <v>0</v>
      </c>
      <c r="H235" s="47"/>
      <c r="I235" s="51"/>
      <c r="J235" s="50"/>
      <c r="K235" s="49"/>
      <c r="L235" s="48" t="str">
        <f>IF(AND(LEN(K235)&gt;0,D235="APPROVED"),VLOOKUP(Table5[[#This Row],[COMPLETION %]],COMPL_STATUS,2,1),"")</f>
        <v/>
      </c>
      <c r="M235" s="47"/>
      <c r="N235" s="47"/>
      <c r="O235" s="46"/>
    </row>
    <row r="236" spans="3:15" s="55" customFormat="1" ht="15">
      <c r="C236" s="54"/>
      <c r="D236" s="54"/>
      <c r="E236" s="53"/>
      <c r="F236" s="53"/>
      <c r="G236" s="52">
        <f>ROUND($C$16*Table5[[#This Row],[Hours]],2)</f>
        <v>0</v>
      </c>
      <c r="H236" s="47"/>
      <c r="I236" s="51"/>
      <c r="J236" s="50"/>
      <c r="K236" s="49"/>
      <c r="L236" s="48" t="str">
        <f>IF(AND(LEN(K236)&gt;0,D236="APPROVED"),VLOOKUP(Table5[[#This Row],[COMPLETION %]],COMPL_STATUS,2,1),"")</f>
        <v/>
      </c>
      <c r="M236" s="47"/>
      <c r="N236" s="47"/>
      <c r="O236" s="46"/>
    </row>
    <row r="237" spans="3:15" s="55" customFormat="1" ht="15">
      <c r="C237" s="54"/>
      <c r="D237" s="54"/>
      <c r="E237" s="53"/>
      <c r="F237" s="53"/>
      <c r="G237" s="52">
        <f>ROUND($C$16*Table5[[#This Row],[Hours]],2)</f>
        <v>0</v>
      </c>
      <c r="H237" s="47"/>
      <c r="I237" s="51"/>
      <c r="J237" s="50"/>
      <c r="K237" s="49"/>
      <c r="L237" s="48" t="str">
        <f>IF(AND(LEN(K237)&gt;0,D237="APPROVED"),VLOOKUP(Table5[[#This Row],[COMPLETION %]],COMPL_STATUS,2,1),"")</f>
        <v/>
      </c>
      <c r="M237" s="47"/>
      <c r="N237" s="47"/>
      <c r="O237" s="46"/>
    </row>
    <row r="238" spans="3:15" s="55" customFormat="1" ht="15">
      <c r="C238" s="54"/>
      <c r="D238" s="54"/>
      <c r="E238" s="53"/>
      <c r="F238" s="53"/>
      <c r="G238" s="52">
        <f>ROUND($C$16*Table5[[#This Row],[Hours]],2)</f>
        <v>0</v>
      </c>
      <c r="H238" s="47"/>
      <c r="I238" s="51"/>
      <c r="J238" s="50"/>
      <c r="K238" s="49"/>
      <c r="L238" s="48" t="str">
        <f>IF(AND(LEN(K238)&gt;0,D238="APPROVED"),VLOOKUP(Table5[[#This Row],[COMPLETION %]],COMPL_STATUS,2,1),"")</f>
        <v/>
      </c>
      <c r="M238" s="47"/>
      <c r="N238" s="47"/>
      <c r="O238" s="46"/>
    </row>
    <row r="239" spans="3:15" s="55" customFormat="1" ht="15">
      <c r="C239" s="54"/>
      <c r="D239" s="54"/>
      <c r="E239" s="53"/>
      <c r="F239" s="53"/>
      <c r="G239" s="52">
        <f>ROUND($C$16*Table5[[#This Row],[Hours]],2)</f>
        <v>0</v>
      </c>
      <c r="H239" s="47"/>
      <c r="I239" s="51"/>
      <c r="J239" s="50"/>
      <c r="K239" s="49"/>
      <c r="L239" s="48" t="str">
        <f>IF(AND(LEN(K239)&gt;0,D239="APPROVED"),VLOOKUP(Table5[[#This Row],[COMPLETION %]],COMPL_STATUS,2,1),"")</f>
        <v/>
      </c>
      <c r="M239" s="47"/>
      <c r="N239" s="47"/>
      <c r="O239" s="46"/>
    </row>
    <row r="240" spans="3:15" s="55" customFormat="1" ht="15">
      <c r="C240" s="54"/>
      <c r="D240" s="54"/>
      <c r="E240" s="53"/>
      <c r="F240" s="53"/>
      <c r="G240" s="52">
        <f>ROUND($C$16*Table5[[#This Row],[Hours]],2)</f>
        <v>0</v>
      </c>
      <c r="H240" s="47"/>
      <c r="I240" s="51"/>
      <c r="J240" s="50"/>
      <c r="K240" s="49"/>
      <c r="L240" s="48" t="str">
        <f>IF(AND(LEN(K240)&gt;0,D240="APPROVED"),VLOOKUP(Table5[[#This Row],[COMPLETION %]],COMPL_STATUS,2,1),"")</f>
        <v/>
      </c>
      <c r="M240" s="47"/>
      <c r="N240" s="47"/>
      <c r="O240" s="46"/>
    </row>
    <row r="241" spans="3:15" s="55" customFormat="1" ht="15">
      <c r="C241" s="54"/>
      <c r="D241" s="54"/>
      <c r="E241" s="53"/>
      <c r="F241" s="53"/>
      <c r="G241" s="52">
        <f>ROUND($C$16*Table5[[#This Row],[Hours]],2)</f>
        <v>0</v>
      </c>
      <c r="H241" s="47"/>
      <c r="I241" s="51"/>
      <c r="J241" s="50"/>
      <c r="K241" s="49"/>
      <c r="L241" s="48" t="str">
        <f>IF(AND(LEN(K241)&gt;0,D241="APPROVED"),VLOOKUP(Table5[[#This Row],[COMPLETION %]],COMPL_STATUS,2,1),"")</f>
        <v/>
      </c>
      <c r="M241" s="47"/>
      <c r="N241" s="47"/>
      <c r="O241" s="46"/>
    </row>
    <row r="242" spans="3:15" s="55" customFormat="1" ht="15">
      <c r="C242" s="54"/>
      <c r="D242" s="54"/>
      <c r="E242" s="53"/>
      <c r="F242" s="53"/>
      <c r="G242" s="52">
        <f>ROUND($C$16*Table5[[#This Row],[Hours]],2)</f>
        <v>0</v>
      </c>
      <c r="H242" s="47"/>
      <c r="I242" s="51"/>
      <c r="J242" s="50"/>
      <c r="K242" s="49"/>
      <c r="L242" s="48" t="str">
        <f>IF(AND(LEN(K242)&gt;0,D242="APPROVED"),VLOOKUP(Table5[[#This Row],[COMPLETION %]],COMPL_STATUS,2,1),"")</f>
        <v/>
      </c>
      <c r="M242" s="47"/>
      <c r="N242" s="47"/>
      <c r="O242" s="46"/>
    </row>
    <row r="243" spans="3:15" s="55" customFormat="1" ht="15">
      <c r="C243" s="54"/>
      <c r="D243" s="54"/>
      <c r="E243" s="53"/>
      <c r="F243" s="53"/>
      <c r="G243" s="52">
        <f>ROUND($C$16*Table5[[#This Row],[Hours]],2)</f>
        <v>0</v>
      </c>
      <c r="H243" s="47"/>
      <c r="I243" s="51"/>
      <c r="J243" s="50"/>
      <c r="K243" s="49"/>
      <c r="L243" s="48" t="str">
        <f>IF(AND(LEN(K243)&gt;0,D243="APPROVED"),VLOOKUP(Table5[[#This Row],[COMPLETION %]],COMPL_STATUS,2,1),"")</f>
        <v/>
      </c>
      <c r="M243" s="47"/>
      <c r="N243" s="47"/>
      <c r="O243" s="46"/>
    </row>
    <row r="244" spans="3:15" s="55" customFormat="1" ht="15">
      <c r="C244" s="54"/>
      <c r="D244" s="54"/>
      <c r="E244" s="53"/>
      <c r="F244" s="53"/>
      <c r="G244" s="52">
        <f>ROUND($C$16*Table5[[#This Row],[Hours]],2)</f>
        <v>0</v>
      </c>
      <c r="H244" s="47"/>
      <c r="I244" s="51"/>
      <c r="J244" s="50"/>
      <c r="K244" s="49"/>
      <c r="L244" s="48" t="str">
        <f>IF(AND(LEN(K244)&gt;0,D244="APPROVED"),VLOOKUP(Table5[[#This Row],[COMPLETION %]],COMPL_STATUS,2,1),"")</f>
        <v/>
      </c>
      <c r="M244" s="47"/>
      <c r="N244" s="47"/>
      <c r="O244" s="46"/>
    </row>
    <row r="245" spans="3:15" s="55" customFormat="1" ht="15">
      <c r="C245" s="54"/>
      <c r="D245" s="54"/>
      <c r="E245" s="53"/>
      <c r="F245" s="53"/>
      <c r="G245" s="52">
        <f>ROUND($C$16*Table5[[#This Row],[Hours]],2)</f>
        <v>0</v>
      </c>
      <c r="H245" s="47"/>
      <c r="I245" s="51"/>
      <c r="J245" s="50"/>
      <c r="K245" s="49"/>
      <c r="L245" s="48" t="str">
        <f>IF(AND(LEN(K245)&gt;0,D245="APPROVED"),VLOOKUP(Table5[[#This Row],[COMPLETION %]],COMPL_STATUS,2,1),"")</f>
        <v/>
      </c>
      <c r="M245" s="47"/>
      <c r="N245" s="47"/>
      <c r="O245" s="46"/>
    </row>
    <row r="246" spans="3:15" s="55" customFormat="1" ht="15">
      <c r="C246" s="54"/>
      <c r="D246" s="54"/>
      <c r="E246" s="53"/>
      <c r="F246" s="53"/>
      <c r="G246" s="52">
        <f>ROUND($C$16*Table5[[#This Row],[Hours]],2)</f>
        <v>0</v>
      </c>
      <c r="H246" s="47"/>
      <c r="I246" s="51"/>
      <c r="J246" s="50"/>
      <c r="K246" s="49"/>
      <c r="L246" s="48" t="str">
        <f>IF(AND(LEN(K246)&gt;0,D246="APPROVED"),VLOOKUP(Table5[[#This Row],[COMPLETION %]],COMPL_STATUS,2,1),"")</f>
        <v/>
      </c>
      <c r="M246" s="47"/>
      <c r="N246" s="47"/>
      <c r="O246" s="46"/>
    </row>
    <row r="247" spans="3:15" s="55" customFormat="1" ht="15">
      <c r="C247" s="54"/>
      <c r="D247" s="54"/>
      <c r="E247" s="53"/>
      <c r="F247" s="53"/>
      <c r="G247" s="52">
        <f>ROUND($C$16*Table5[[#This Row],[Hours]],2)</f>
        <v>0</v>
      </c>
      <c r="H247" s="47"/>
      <c r="I247" s="51"/>
      <c r="J247" s="50"/>
      <c r="K247" s="49"/>
      <c r="L247" s="48" t="str">
        <f>IF(AND(LEN(K247)&gt;0,D247="APPROVED"),VLOOKUP(Table5[[#This Row],[COMPLETION %]],COMPL_STATUS,2,1),"")</f>
        <v/>
      </c>
      <c r="M247" s="47"/>
      <c r="N247" s="47"/>
      <c r="O247" s="46"/>
    </row>
    <row r="248" spans="3:15" s="55" customFormat="1" ht="15">
      <c r="C248" s="54"/>
      <c r="D248" s="54"/>
      <c r="E248" s="53"/>
      <c r="F248" s="53"/>
      <c r="G248" s="52">
        <f>ROUND($C$16*Table5[[#This Row],[Hours]],2)</f>
        <v>0</v>
      </c>
      <c r="H248" s="47"/>
      <c r="I248" s="51"/>
      <c r="J248" s="50"/>
      <c r="K248" s="49"/>
      <c r="L248" s="48" t="str">
        <f>IF(AND(LEN(K248)&gt;0,D248="APPROVED"),VLOOKUP(Table5[[#This Row],[COMPLETION %]],COMPL_STATUS,2,1),"")</f>
        <v/>
      </c>
      <c r="M248" s="47"/>
      <c r="N248" s="47"/>
      <c r="O248" s="46"/>
    </row>
    <row r="249" spans="3:15" s="55" customFormat="1" ht="15">
      <c r="C249" s="54"/>
      <c r="D249" s="54"/>
      <c r="E249" s="53"/>
      <c r="F249" s="53"/>
      <c r="G249" s="52">
        <f>ROUND($C$16*Table5[[#This Row],[Hours]],2)</f>
        <v>0</v>
      </c>
      <c r="H249" s="47"/>
      <c r="I249" s="51"/>
      <c r="J249" s="50"/>
      <c r="K249" s="49"/>
      <c r="L249" s="48" t="str">
        <f>IF(AND(LEN(K249)&gt;0,D249="APPROVED"),VLOOKUP(Table5[[#This Row],[COMPLETION %]],COMPL_STATUS,2,1),"")</f>
        <v/>
      </c>
      <c r="M249" s="47"/>
      <c r="N249" s="47"/>
      <c r="O249" s="46"/>
    </row>
    <row r="250" spans="3:15" s="55" customFormat="1" ht="15">
      <c r="C250" s="54"/>
      <c r="D250" s="54"/>
      <c r="E250" s="53"/>
      <c r="F250" s="53"/>
      <c r="G250" s="52">
        <f>ROUND($C$16*Table5[[#This Row],[Hours]],2)</f>
        <v>0</v>
      </c>
      <c r="H250" s="47"/>
      <c r="I250" s="51"/>
      <c r="J250" s="50"/>
      <c r="K250" s="49"/>
      <c r="L250" s="48" t="str">
        <f>IF(AND(LEN(K250)&gt;0,D250="APPROVED"),VLOOKUP(Table5[[#This Row],[COMPLETION %]],COMPL_STATUS,2,1),"")</f>
        <v/>
      </c>
      <c r="M250" s="47"/>
      <c r="N250" s="47"/>
      <c r="O250" s="46"/>
    </row>
    <row r="251" spans="3:15" s="55" customFormat="1" ht="15">
      <c r="C251" s="54"/>
      <c r="D251" s="54"/>
      <c r="E251" s="53"/>
      <c r="F251" s="53"/>
      <c r="G251" s="52">
        <f>ROUND($C$16*Table5[[#This Row],[Hours]],2)</f>
        <v>0</v>
      </c>
      <c r="H251" s="47"/>
      <c r="I251" s="51"/>
      <c r="J251" s="50"/>
      <c r="K251" s="49"/>
      <c r="L251" s="48" t="str">
        <f>IF(AND(LEN(K251)&gt;0,D251="APPROVED"),VLOOKUP(Table5[[#This Row],[COMPLETION %]],COMPL_STATUS,2,1),"")</f>
        <v/>
      </c>
      <c r="M251" s="47"/>
      <c r="N251" s="47"/>
      <c r="O251" s="46"/>
    </row>
    <row r="252" spans="3:15" s="55" customFormat="1" ht="15">
      <c r="C252" s="54"/>
      <c r="D252" s="54"/>
      <c r="E252" s="53"/>
      <c r="F252" s="53"/>
      <c r="G252" s="52">
        <f>ROUND($C$16*Table5[[#This Row],[Hours]],2)</f>
        <v>0</v>
      </c>
      <c r="H252" s="47"/>
      <c r="I252" s="51"/>
      <c r="J252" s="50"/>
      <c r="K252" s="49"/>
      <c r="L252" s="48" t="str">
        <f>IF(AND(LEN(K252)&gt;0,D252="APPROVED"),VLOOKUP(Table5[[#This Row],[COMPLETION %]],COMPL_STATUS,2,1),"")</f>
        <v/>
      </c>
      <c r="M252" s="47"/>
      <c r="N252" s="47"/>
      <c r="O252" s="46"/>
    </row>
    <row r="253" spans="3:15" s="55" customFormat="1" ht="15">
      <c r="C253" s="54"/>
      <c r="D253" s="54"/>
      <c r="E253" s="53"/>
      <c r="F253" s="53"/>
      <c r="G253" s="52">
        <f>ROUND($C$16*Table5[[#This Row],[Hours]],2)</f>
        <v>0</v>
      </c>
      <c r="H253" s="47"/>
      <c r="I253" s="51"/>
      <c r="J253" s="50"/>
      <c r="K253" s="49"/>
      <c r="L253" s="48" t="str">
        <f>IF(AND(LEN(K253)&gt;0,D253="APPROVED"),VLOOKUP(Table5[[#This Row],[COMPLETION %]],COMPL_STATUS,2,1),"")</f>
        <v/>
      </c>
      <c r="M253" s="47"/>
      <c r="N253" s="47"/>
      <c r="O253" s="46"/>
    </row>
    <row r="254" spans="3:15" s="55" customFormat="1" ht="15">
      <c r="C254" s="54"/>
      <c r="D254" s="54"/>
      <c r="E254" s="53"/>
      <c r="F254" s="53"/>
      <c r="G254" s="52">
        <f>ROUND($C$16*Table5[[#This Row],[Hours]],2)</f>
        <v>0</v>
      </c>
      <c r="H254" s="47"/>
      <c r="I254" s="51"/>
      <c r="J254" s="50"/>
      <c r="K254" s="49"/>
      <c r="L254" s="48" t="str">
        <f>IF(AND(LEN(K254)&gt;0,D254="APPROVED"),VLOOKUP(Table5[[#This Row],[COMPLETION %]],COMPL_STATUS,2,1),"")</f>
        <v/>
      </c>
      <c r="M254" s="47"/>
      <c r="N254" s="47"/>
      <c r="O254" s="46"/>
    </row>
    <row r="255" spans="3:15" s="55" customFormat="1" ht="15">
      <c r="C255" s="54"/>
      <c r="D255" s="54"/>
      <c r="E255" s="53"/>
      <c r="F255" s="53"/>
      <c r="G255" s="52">
        <f>ROUND($C$16*Table5[[#This Row],[Hours]],2)</f>
        <v>0</v>
      </c>
      <c r="H255" s="47"/>
      <c r="I255" s="51"/>
      <c r="J255" s="50"/>
      <c r="K255" s="49"/>
      <c r="L255" s="48" t="str">
        <f>IF(AND(LEN(K255)&gt;0,D255="APPROVED"),VLOOKUP(Table5[[#This Row],[COMPLETION %]],COMPL_STATUS,2,1),"")</f>
        <v/>
      </c>
      <c r="M255" s="47"/>
      <c r="N255" s="47"/>
      <c r="O255" s="46"/>
    </row>
    <row r="256" spans="3:15" s="55" customFormat="1" ht="15">
      <c r="C256" s="54"/>
      <c r="D256" s="54"/>
      <c r="E256" s="53"/>
      <c r="F256" s="53"/>
      <c r="G256" s="52">
        <f>ROUND($C$16*Table5[[#This Row],[Hours]],2)</f>
        <v>0</v>
      </c>
      <c r="H256" s="47"/>
      <c r="I256" s="51"/>
      <c r="J256" s="50"/>
      <c r="K256" s="49"/>
      <c r="L256" s="48" t="str">
        <f>IF(AND(LEN(K256)&gt;0,D256="APPROVED"),VLOOKUP(Table5[[#This Row],[COMPLETION %]],COMPL_STATUS,2,1),"")</f>
        <v/>
      </c>
      <c r="M256" s="47"/>
      <c r="N256" s="47"/>
      <c r="O256" s="46"/>
    </row>
    <row r="257" spans="3:15" s="55" customFormat="1" ht="15">
      <c r="C257" s="54"/>
      <c r="D257" s="54"/>
      <c r="E257" s="53"/>
      <c r="F257" s="53"/>
      <c r="G257" s="52">
        <f>ROUND($C$16*Table5[[#This Row],[Hours]],2)</f>
        <v>0</v>
      </c>
      <c r="H257" s="47"/>
      <c r="I257" s="51"/>
      <c r="J257" s="50"/>
      <c r="K257" s="49"/>
      <c r="L257" s="48" t="str">
        <f>IF(AND(LEN(K257)&gt;0,D257="APPROVED"),VLOOKUP(Table5[[#This Row],[COMPLETION %]],COMPL_STATUS,2,1),"")</f>
        <v/>
      </c>
      <c r="M257" s="47"/>
      <c r="N257" s="47"/>
      <c r="O257" s="46"/>
    </row>
    <row r="258" spans="3:15" s="55" customFormat="1" ht="15">
      <c r="C258" s="54"/>
      <c r="D258" s="54"/>
      <c r="E258" s="53"/>
      <c r="F258" s="53"/>
      <c r="G258" s="52">
        <f>ROUND($C$16*Table5[[#This Row],[Hours]],2)</f>
        <v>0</v>
      </c>
      <c r="H258" s="47"/>
      <c r="I258" s="51"/>
      <c r="J258" s="50"/>
      <c r="K258" s="49"/>
      <c r="L258" s="48" t="str">
        <f>IF(AND(LEN(K258)&gt;0,D258="APPROVED"),VLOOKUP(Table5[[#This Row],[COMPLETION %]],COMPL_STATUS,2,1),"")</f>
        <v/>
      </c>
      <c r="M258" s="47"/>
      <c r="N258" s="47"/>
      <c r="O258" s="46"/>
    </row>
    <row r="259" spans="3:15" s="55" customFormat="1" ht="15">
      <c r="C259" s="54"/>
      <c r="D259" s="54"/>
      <c r="E259" s="53"/>
      <c r="F259" s="53"/>
      <c r="G259" s="52">
        <f>ROUND($C$16*Table5[[#This Row],[Hours]],2)</f>
        <v>0</v>
      </c>
      <c r="H259" s="47"/>
      <c r="I259" s="51"/>
      <c r="J259" s="50"/>
      <c r="K259" s="49"/>
      <c r="L259" s="48" t="str">
        <f>IF(AND(LEN(K259)&gt;0,D259="APPROVED"),VLOOKUP(Table5[[#This Row],[COMPLETION %]],COMPL_STATUS,2,1),"")</f>
        <v/>
      </c>
      <c r="M259" s="47"/>
      <c r="N259" s="47"/>
      <c r="O259" s="46"/>
    </row>
    <row r="260" spans="3:15" s="55" customFormat="1" ht="15">
      <c r="C260" s="54"/>
      <c r="D260" s="54"/>
      <c r="E260" s="53"/>
      <c r="F260" s="53"/>
      <c r="G260" s="52">
        <f>ROUND($C$16*Table5[[#This Row],[Hours]],2)</f>
        <v>0</v>
      </c>
      <c r="H260" s="47"/>
      <c r="I260" s="51"/>
      <c r="J260" s="50"/>
      <c r="K260" s="49"/>
      <c r="L260" s="48" t="str">
        <f>IF(AND(LEN(K260)&gt;0,D260="APPROVED"),VLOOKUP(Table5[[#This Row],[COMPLETION %]],COMPL_STATUS,2,1),"")</f>
        <v/>
      </c>
      <c r="M260" s="47"/>
      <c r="N260" s="47"/>
      <c r="O260" s="46"/>
    </row>
    <row r="261" spans="3:15" s="55" customFormat="1" ht="15">
      <c r="C261" s="54"/>
      <c r="D261" s="54"/>
      <c r="E261" s="53"/>
      <c r="F261" s="53"/>
      <c r="G261" s="52">
        <f>ROUND($C$16*Table5[[#This Row],[Hours]],2)</f>
        <v>0</v>
      </c>
      <c r="H261" s="47"/>
      <c r="I261" s="51"/>
      <c r="J261" s="50"/>
      <c r="K261" s="49"/>
      <c r="L261" s="48" t="str">
        <f>IF(AND(LEN(K261)&gt;0,D261="APPROVED"),VLOOKUP(Table5[[#This Row],[COMPLETION %]],COMPL_STATUS,2,1),"")</f>
        <v/>
      </c>
      <c r="M261" s="47"/>
      <c r="N261" s="47"/>
      <c r="O261" s="46"/>
    </row>
    <row r="262" spans="3:15" s="55" customFormat="1" ht="15">
      <c r="C262" s="54"/>
      <c r="D262" s="54"/>
      <c r="E262" s="53"/>
      <c r="F262" s="53"/>
      <c r="G262" s="52">
        <f>ROUND($C$16*Table5[[#This Row],[Hours]],2)</f>
        <v>0</v>
      </c>
      <c r="H262" s="47"/>
      <c r="I262" s="51"/>
      <c r="J262" s="50"/>
      <c r="K262" s="49"/>
      <c r="L262" s="48" t="str">
        <f>IF(AND(LEN(K262)&gt;0,D262="APPROVED"),VLOOKUP(Table5[[#This Row],[COMPLETION %]],COMPL_STATUS,2,1),"")</f>
        <v/>
      </c>
      <c r="M262" s="47"/>
      <c r="N262" s="47"/>
      <c r="O262" s="46"/>
    </row>
    <row r="263" spans="3:15" s="55" customFormat="1" ht="15">
      <c r="C263" s="54"/>
      <c r="D263" s="54"/>
      <c r="E263" s="53"/>
      <c r="F263" s="53"/>
      <c r="G263" s="52">
        <f>ROUND($C$16*Table5[[#This Row],[Hours]],2)</f>
        <v>0</v>
      </c>
      <c r="H263" s="47"/>
      <c r="I263" s="51"/>
      <c r="J263" s="50"/>
      <c r="K263" s="49"/>
      <c r="L263" s="48" t="str">
        <f>IF(AND(LEN(K263)&gt;0,D263="APPROVED"),VLOOKUP(Table5[[#This Row],[COMPLETION %]],COMPL_STATUS,2,1),"")</f>
        <v/>
      </c>
      <c r="M263" s="47"/>
      <c r="N263" s="47"/>
      <c r="O263" s="46"/>
    </row>
    <row r="264" spans="3:15" s="55" customFormat="1" ht="15">
      <c r="C264" s="54"/>
      <c r="D264" s="54"/>
      <c r="E264" s="53"/>
      <c r="F264" s="53"/>
      <c r="G264" s="52">
        <f>ROUND($C$16*Table5[[#This Row],[Hours]],2)</f>
        <v>0</v>
      </c>
      <c r="H264" s="47"/>
      <c r="I264" s="51"/>
      <c r="J264" s="50"/>
      <c r="K264" s="49"/>
      <c r="L264" s="48" t="str">
        <f>IF(AND(LEN(K264)&gt;0,D264="APPROVED"),VLOOKUP(Table5[[#This Row],[COMPLETION %]],COMPL_STATUS,2,1),"")</f>
        <v/>
      </c>
      <c r="M264" s="47"/>
      <c r="N264" s="47"/>
      <c r="O264" s="46"/>
    </row>
    <row r="265" spans="3:15" s="55" customFormat="1" ht="15">
      <c r="C265" s="54"/>
      <c r="D265" s="54"/>
      <c r="E265" s="53"/>
      <c r="F265" s="53"/>
      <c r="G265" s="52">
        <f>ROUND($C$16*Table5[[#This Row],[Hours]],2)</f>
        <v>0</v>
      </c>
      <c r="H265" s="47"/>
      <c r="I265" s="51"/>
      <c r="J265" s="50"/>
      <c r="K265" s="49"/>
      <c r="L265" s="48" t="str">
        <f>IF(AND(LEN(K265)&gt;0,D265="APPROVED"),VLOOKUP(Table5[[#This Row],[COMPLETION %]],COMPL_STATUS,2,1),"")</f>
        <v/>
      </c>
      <c r="M265" s="47"/>
      <c r="N265" s="47"/>
      <c r="O265" s="46"/>
    </row>
    <row r="266" spans="3:15" s="55" customFormat="1" ht="15">
      <c r="C266" s="54"/>
      <c r="D266" s="54"/>
      <c r="E266" s="53"/>
      <c r="F266" s="53"/>
      <c r="G266" s="52">
        <f>ROUND($C$16*Table5[[#This Row],[Hours]],2)</f>
        <v>0</v>
      </c>
      <c r="H266" s="47"/>
      <c r="I266" s="51"/>
      <c r="J266" s="50"/>
      <c r="K266" s="49"/>
      <c r="L266" s="48" t="str">
        <f>IF(AND(LEN(K266)&gt;0,D266="APPROVED"),VLOOKUP(Table5[[#This Row],[COMPLETION %]],COMPL_STATUS,2,1),"")</f>
        <v/>
      </c>
      <c r="M266" s="47"/>
      <c r="N266" s="47"/>
      <c r="O266" s="46"/>
    </row>
    <row r="267" spans="3:15" s="55" customFormat="1" ht="15">
      <c r="C267" s="54"/>
      <c r="D267" s="54"/>
      <c r="E267" s="53"/>
      <c r="F267" s="53"/>
      <c r="G267" s="52">
        <f>ROUND($C$16*Table5[[#This Row],[Hours]],2)</f>
        <v>0</v>
      </c>
      <c r="H267" s="47"/>
      <c r="I267" s="51"/>
      <c r="J267" s="50"/>
      <c r="K267" s="49"/>
      <c r="L267" s="48" t="str">
        <f>IF(AND(LEN(K267)&gt;0,D267="APPROVED"),VLOOKUP(Table5[[#This Row],[COMPLETION %]],COMPL_STATUS,2,1),"")</f>
        <v/>
      </c>
      <c r="M267" s="47"/>
      <c r="N267" s="47"/>
      <c r="O267" s="46"/>
    </row>
    <row r="268" spans="3:15" s="55" customFormat="1" ht="15">
      <c r="C268" s="54"/>
      <c r="D268" s="54"/>
      <c r="E268" s="53"/>
      <c r="F268" s="53"/>
      <c r="G268" s="52">
        <f>ROUND($C$16*Table5[[#This Row],[Hours]],2)</f>
        <v>0</v>
      </c>
      <c r="H268" s="47"/>
      <c r="I268" s="51"/>
      <c r="J268" s="50"/>
      <c r="K268" s="49"/>
      <c r="L268" s="48" t="str">
        <f>IF(AND(LEN(K268)&gt;0,D268="APPROVED"),VLOOKUP(Table5[[#This Row],[COMPLETION %]],COMPL_STATUS,2,1),"")</f>
        <v/>
      </c>
      <c r="M268" s="47"/>
      <c r="N268" s="47"/>
      <c r="O268" s="46"/>
    </row>
    <row r="269" spans="3:15" s="55" customFormat="1" ht="15">
      <c r="C269" s="54"/>
      <c r="D269" s="54"/>
      <c r="E269" s="53"/>
      <c r="F269" s="53"/>
      <c r="G269" s="52">
        <f>ROUND($C$16*Table5[[#This Row],[Hours]],2)</f>
        <v>0</v>
      </c>
      <c r="H269" s="47"/>
      <c r="I269" s="51"/>
      <c r="J269" s="50"/>
      <c r="K269" s="49"/>
      <c r="L269" s="48" t="str">
        <f>IF(AND(LEN(K269)&gt;0,D269="APPROVED"),VLOOKUP(Table5[[#This Row],[COMPLETION %]],COMPL_STATUS,2,1),"")</f>
        <v/>
      </c>
      <c r="M269" s="47"/>
      <c r="N269" s="47"/>
      <c r="O269" s="46"/>
    </row>
    <row r="270" spans="3:15" s="55" customFormat="1" ht="15">
      <c r="C270" s="54"/>
      <c r="D270" s="54"/>
      <c r="E270" s="53"/>
      <c r="F270" s="53"/>
      <c r="G270" s="52">
        <f>ROUND($C$16*Table5[[#This Row],[Hours]],2)</f>
        <v>0</v>
      </c>
      <c r="H270" s="47"/>
      <c r="I270" s="51"/>
      <c r="J270" s="50"/>
      <c r="K270" s="49"/>
      <c r="L270" s="48" t="str">
        <f>IF(AND(LEN(K270)&gt;0,D270="APPROVED"),VLOOKUP(Table5[[#This Row],[COMPLETION %]],COMPL_STATUS,2,1),"")</f>
        <v/>
      </c>
      <c r="M270" s="47"/>
      <c r="N270" s="47"/>
      <c r="O270" s="46"/>
    </row>
    <row r="271" spans="3:15" s="55" customFormat="1" ht="15">
      <c r="C271" s="54"/>
      <c r="D271" s="54"/>
      <c r="E271" s="53"/>
      <c r="F271" s="53"/>
      <c r="G271" s="52">
        <f>ROUND($C$16*Table5[[#This Row],[Hours]],2)</f>
        <v>0</v>
      </c>
      <c r="H271" s="47"/>
      <c r="I271" s="51"/>
      <c r="J271" s="50"/>
      <c r="K271" s="49"/>
      <c r="L271" s="48" t="str">
        <f>IF(AND(LEN(K271)&gt;0,D271="APPROVED"),VLOOKUP(Table5[[#This Row],[COMPLETION %]],COMPL_STATUS,2,1),"")</f>
        <v/>
      </c>
      <c r="M271" s="47"/>
      <c r="N271" s="47"/>
      <c r="O271" s="46"/>
    </row>
    <row r="272" spans="3:15" s="55" customFormat="1" ht="15">
      <c r="C272" s="54"/>
      <c r="D272" s="54"/>
      <c r="E272" s="53"/>
      <c r="F272" s="53"/>
      <c r="G272" s="52">
        <f>ROUND($C$16*Table5[[#This Row],[Hours]],2)</f>
        <v>0</v>
      </c>
      <c r="H272" s="47"/>
      <c r="I272" s="51"/>
      <c r="J272" s="50"/>
      <c r="K272" s="49"/>
      <c r="L272" s="48" t="str">
        <f>IF(AND(LEN(K272)&gt;0,D272="APPROVED"),VLOOKUP(Table5[[#This Row],[COMPLETION %]],COMPL_STATUS,2,1),"")</f>
        <v/>
      </c>
      <c r="M272" s="47"/>
      <c r="N272" s="47"/>
      <c r="O272" s="46"/>
    </row>
    <row r="273" spans="3:15" s="55" customFormat="1" ht="15">
      <c r="C273" s="54"/>
      <c r="D273" s="54"/>
      <c r="E273" s="53"/>
      <c r="F273" s="53"/>
      <c r="G273" s="52">
        <f>ROUND($C$16*Table5[[#This Row],[Hours]],2)</f>
        <v>0</v>
      </c>
      <c r="H273" s="47"/>
      <c r="I273" s="51"/>
      <c r="J273" s="50"/>
      <c r="K273" s="49"/>
      <c r="L273" s="48" t="str">
        <f>IF(AND(LEN(K273)&gt;0,D273="APPROVED"),VLOOKUP(Table5[[#This Row],[COMPLETION %]],COMPL_STATUS,2,1),"")</f>
        <v/>
      </c>
      <c r="M273" s="47"/>
      <c r="N273" s="47"/>
      <c r="O273" s="46"/>
    </row>
    <row r="274" spans="3:15" s="55" customFormat="1" ht="15">
      <c r="C274" s="54"/>
      <c r="D274" s="54"/>
      <c r="E274" s="53"/>
      <c r="F274" s="53"/>
      <c r="G274" s="52">
        <f>ROUND($C$16*Table5[[#This Row],[Hours]],2)</f>
        <v>0</v>
      </c>
      <c r="H274" s="47"/>
      <c r="I274" s="51"/>
      <c r="J274" s="50"/>
      <c r="K274" s="49"/>
      <c r="L274" s="48" t="str">
        <f>IF(AND(LEN(K274)&gt;0,D274="APPROVED"),VLOOKUP(Table5[[#This Row],[COMPLETION %]],COMPL_STATUS,2,1),"")</f>
        <v/>
      </c>
      <c r="M274" s="47"/>
      <c r="N274" s="47"/>
      <c r="O274" s="46"/>
    </row>
    <row r="275" spans="3:15" s="55" customFormat="1" ht="15">
      <c r="C275" s="54"/>
      <c r="D275" s="54"/>
      <c r="E275" s="53"/>
      <c r="F275" s="53"/>
      <c r="G275" s="52">
        <f>ROUND($C$16*Table5[[#This Row],[Hours]],2)</f>
        <v>0</v>
      </c>
      <c r="H275" s="47"/>
      <c r="I275" s="51"/>
      <c r="J275" s="50"/>
      <c r="K275" s="49"/>
      <c r="L275" s="48" t="str">
        <f>IF(AND(LEN(K275)&gt;0,D275="APPROVED"),VLOOKUP(Table5[[#This Row],[COMPLETION %]],COMPL_STATUS,2,1),"")</f>
        <v/>
      </c>
      <c r="M275" s="47"/>
      <c r="N275" s="47"/>
      <c r="O275" s="46"/>
    </row>
    <row r="276" spans="3:15" s="55" customFormat="1" ht="15">
      <c r="C276" s="54"/>
      <c r="D276" s="54"/>
      <c r="E276" s="53"/>
      <c r="F276" s="53"/>
      <c r="G276" s="52">
        <f>ROUND($C$16*Table5[[#This Row],[Hours]],2)</f>
        <v>0</v>
      </c>
      <c r="H276" s="47"/>
      <c r="I276" s="51"/>
      <c r="J276" s="50"/>
      <c r="K276" s="49"/>
      <c r="L276" s="48" t="str">
        <f>IF(AND(LEN(K276)&gt;0,D276="APPROVED"),VLOOKUP(Table5[[#This Row],[COMPLETION %]],COMPL_STATUS,2,1),"")</f>
        <v/>
      </c>
      <c r="M276" s="47"/>
      <c r="N276" s="47"/>
      <c r="O276" s="46"/>
    </row>
    <row r="277" spans="3:15" s="55" customFormat="1" ht="15">
      <c r="C277" s="54"/>
      <c r="D277" s="54"/>
      <c r="E277" s="53"/>
      <c r="F277" s="53"/>
      <c r="G277" s="52">
        <f>ROUND($C$16*Table5[[#This Row],[Hours]],2)</f>
        <v>0</v>
      </c>
      <c r="H277" s="47"/>
      <c r="I277" s="51"/>
      <c r="J277" s="50"/>
      <c r="K277" s="49"/>
      <c r="L277" s="48" t="str">
        <f>IF(AND(LEN(K277)&gt;0,D277="APPROVED"),VLOOKUP(Table5[[#This Row],[COMPLETION %]],COMPL_STATUS,2,1),"")</f>
        <v/>
      </c>
      <c r="M277" s="47"/>
      <c r="N277" s="47"/>
      <c r="O277" s="46"/>
    </row>
    <row r="278" spans="3:15" s="55" customFormat="1" ht="15">
      <c r="C278" s="54"/>
      <c r="D278" s="54"/>
      <c r="E278" s="53"/>
      <c r="F278" s="53"/>
      <c r="G278" s="52">
        <f>ROUND($C$16*Table5[[#This Row],[Hours]],2)</f>
        <v>0</v>
      </c>
      <c r="H278" s="47"/>
      <c r="I278" s="51"/>
      <c r="J278" s="50"/>
      <c r="K278" s="49"/>
      <c r="L278" s="48" t="str">
        <f>IF(AND(LEN(K278)&gt;0,D278="APPROVED"),VLOOKUP(Table5[[#This Row],[COMPLETION %]],COMPL_STATUS,2,1),"")</f>
        <v/>
      </c>
      <c r="M278" s="47"/>
      <c r="N278" s="47"/>
      <c r="O278" s="46"/>
    </row>
    <row r="279" spans="3:15" s="55" customFormat="1" ht="15">
      <c r="C279" s="54"/>
      <c r="D279" s="54"/>
      <c r="E279" s="53"/>
      <c r="F279" s="53"/>
      <c r="G279" s="52">
        <f>ROUND($C$16*Table5[[#This Row],[Hours]],2)</f>
        <v>0</v>
      </c>
      <c r="H279" s="47"/>
      <c r="I279" s="51"/>
      <c r="J279" s="50"/>
      <c r="K279" s="49"/>
      <c r="L279" s="48" t="str">
        <f>IF(AND(LEN(K279)&gt;0,D279="APPROVED"),VLOOKUP(Table5[[#This Row],[COMPLETION %]],COMPL_STATUS,2,1),"")</f>
        <v/>
      </c>
      <c r="M279" s="47"/>
      <c r="N279" s="47"/>
      <c r="O279" s="46"/>
    </row>
    <row r="280" spans="3:15" s="55" customFormat="1" ht="15">
      <c r="C280" s="54"/>
      <c r="D280" s="54"/>
      <c r="E280" s="53"/>
      <c r="F280" s="53"/>
      <c r="G280" s="52">
        <f>ROUND($C$16*Table5[[#This Row],[Hours]],2)</f>
        <v>0</v>
      </c>
      <c r="H280" s="47"/>
      <c r="I280" s="51"/>
      <c r="J280" s="50"/>
      <c r="K280" s="49"/>
      <c r="L280" s="48" t="str">
        <f>IF(AND(LEN(K280)&gt;0,D280="APPROVED"),VLOOKUP(Table5[[#This Row],[COMPLETION %]],COMPL_STATUS,2,1),"")</f>
        <v/>
      </c>
      <c r="M280" s="47"/>
      <c r="N280" s="47"/>
      <c r="O280" s="46"/>
    </row>
    <row r="281" spans="3:15" s="55" customFormat="1" ht="15">
      <c r="C281" s="54"/>
      <c r="D281" s="54"/>
      <c r="E281" s="53"/>
      <c r="F281" s="53"/>
      <c r="G281" s="52">
        <f>ROUND($C$16*Table5[[#This Row],[Hours]],2)</f>
        <v>0</v>
      </c>
      <c r="H281" s="47"/>
      <c r="I281" s="51"/>
      <c r="J281" s="50"/>
      <c r="K281" s="49"/>
      <c r="L281" s="48" t="str">
        <f>IF(AND(LEN(K281)&gt;0,D281="APPROVED"),VLOOKUP(Table5[[#This Row],[COMPLETION %]],COMPL_STATUS,2,1),"")</f>
        <v/>
      </c>
      <c r="M281" s="47"/>
      <c r="N281" s="47"/>
      <c r="O281" s="46"/>
    </row>
    <row r="282" spans="3:15" s="55" customFormat="1" ht="15">
      <c r="C282" s="54"/>
      <c r="D282" s="54"/>
      <c r="E282" s="53"/>
      <c r="F282" s="53"/>
      <c r="G282" s="52">
        <f>ROUND($C$16*Table5[[#This Row],[Hours]],2)</f>
        <v>0</v>
      </c>
      <c r="H282" s="47"/>
      <c r="I282" s="51"/>
      <c r="J282" s="50"/>
      <c r="K282" s="49"/>
      <c r="L282" s="48" t="str">
        <f>IF(AND(LEN(K282)&gt;0,D282="APPROVED"),VLOOKUP(Table5[[#This Row],[COMPLETION %]],COMPL_STATUS,2,1),"")</f>
        <v/>
      </c>
      <c r="M282" s="47"/>
      <c r="N282" s="47"/>
      <c r="O282" s="46"/>
    </row>
    <row r="283" spans="3:15" s="55" customFormat="1" ht="15">
      <c r="C283" s="54"/>
      <c r="D283" s="54"/>
      <c r="E283" s="53"/>
      <c r="F283" s="53"/>
      <c r="G283" s="52">
        <f>ROUND($C$16*Table5[[#This Row],[Hours]],2)</f>
        <v>0</v>
      </c>
      <c r="H283" s="47"/>
      <c r="I283" s="51"/>
      <c r="J283" s="50"/>
      <c r="K283" s="49"/>
      <c r="L283" s="48" t="str">
        <f>IF(AND(LEN(K283)&gt;0,D283="APPROVED"),VLOOKUP(Table5[[#This Row],[COMPLETION %]],COMPL_STATUS,2,1),"")</f>
        <v/>
      </c>
      <c r="M283" s="47"/>
      <c r="N283" s="47"/>
      <c r="O283" s="46"/>
    </row>
    <row r="284" spans="3:15" s="55" customFormat="1" ht="15">
      <c r="C284" s="54"/>
      <c r="D284" s="54"/>
      <c r="E284" s="53"/>
      <c r="F284" s="53"/>
      <c r="G284" s="52">
        <f>ROUND($C$16*Table5[[#This Row],[Hours]],2)</f>
        <v>0</v>
      </c>
      <c r="H284" s="47"/>
      <c r="I284" s="51"/>
      <c r="J284" s="50"/>
      <c r="K284" s="49"/>
      <c r="L284" s="48" t="str">
        <f>IF(AND(LEN(K284)&gt;0,D284="APPROVED"),VLOOKUP(Table5[[#This Row],[COMPLETION %]],COMPL_STATUS,2,1),"")</f>
        <v/>
      </c>
      <c r="M284" s="47"/>
      <c r="N284" s="47"/>
      <c r="O284" s="46"/>
    </row>
    <row r="285" spans="3:15" s="55" customFormat="1" ht="15">
      <c r="C285" s="54"/>
      <c r="D285" s="54"/>
      <c r="E285" s="53"/>
      <c r="F285" s="53"/>
      <c r="G285" s="52">
        <f>ROUND($C$16*Table5[[#This Row],[Hours]],2)</f>
        <v>0</v>
      </c>
      <c r="H285" s="47"/>
      <c r="I285" s="51"/>
      <c r="J285" s="50"/>
      <c r="K285" s="49"/>
      <c r="L285" s="48" t="str">
        <f>IF(AND(LEN(K285)&gt;0,D285="APPROVED"),VLOOKUP(Table5[[#This Row],[COMPLETION %]],COMPL_STATUS,2,1),"")</f>
        <v/>
      </c>
      <c r="M285" s="47"/>
      <c r="N285" s="47"/>
      <c r="O285" s="46"/>
    </row>
    <row r="286" spans="3:15" s="55" customFormat="1" ht="15">
      <c r="C286" s="54"/>
      <c r="D286" s="54"/>
      <c r="E286" s="53"/>
      <c r="F286" s="53"/>
      <c r="G286" s="52">
        <f>ROUND($C$16*Table5[[#This Row],[Hours]],2)</f>
        <v>0</v>
      </c>
      <c r="H286" s="47"/>
      <c r="I286" s="51"/>
      <c r="J286" s="50"/>
      <c r="K286" s="49"/>
      <c r="L286" s="48" t="str">
        <f>IF(AND(LEN(K286)&gt;0,D286="APPROVED"),VLOOKUP(Table5[[#This Row],[COMPLETION %]],COMPL_STATUS,2,1),"")</f>
        <v/>
      </c>
      <c r="M286" s="47"/>
      <c r="N286" s="47"/>
      <c r="O286" s="46"/>
    </row>
    <row r="287" spans="3:15" s="55" customFormat="1" ht="15">
      <c r="C287" s="54"/>
      <c r="D287" s="54"/>
      <c r="E287" s="53"/>
      <c r="F287" s="53"/>
      <c r="G287" s="52">
        <f>ROUND($C$16*Table5[[#This Row],[Hours]],2)</f>
        <v>0</v>
      </c>
      <c r="H287" s="47"/>
      <c r="I287" s="51"/>
      <c r="J287" s="50"/>
      <c r="K287" s="49"/>
      <c r="L287" s="48" t="str">
        <f>IF(AND(LEN(K287)&gt;0,D287="APPROVED"),VLOOKUP(Table5[[#This Row],[COMPLETION %]],COMPL_STATUS,2,1),"")</f>
        <v/>
      </c>
      <c r="M287" s="47"/>
      <c r="N287" s="47"/>
      <c r="O287" s="46"/>
    </row>
    <row r="288" spans="3:15" s="55" customFormat="1" ht="15">
      <c r="C288" s="54"/>
      <c r="D288" s="54"/>
      <c r="E288" s="53"/>
      <c r="F288" s="53"/>
      <c r="G288" s="52">
        <f>ROUND($C$16*Table5[[#This Row],[Hours]],2)</f>
        <v>0</v>
      </c>
      <c r="H288" s="47"/>
      <c r="I288" s="51"/>
      <c r="J288" s="50"/>
      <c r="K288" s="49"/>
      <c r="L288" s="48" t="str">
        <f>IF(AND(LEN(K288)&gt;0,D288="APPROVED"),VLOOKUP(Table5[[#This Row],[COMPLETION %]],COMPL_STATUS,2,1),"")</f>
        <v/>
      </c>
      <c r="M288" s="47"/>
      <c r="N288" s="47"/>
      <c r="O288" s="46"/>
    </row>
    <row r="289" spans="3:15" s="55" customFormat="1" ht="15">
      <c r="C289" s="54"/>
      <c r="D289" s="54"/>
      <c r="E289" s="53"/>
      <c r="F289" s="53"/>
      <c r="G289" s="52">
        <f>ROUND($C$16*Table5[[#This Row],[Hours]],2)</f>
        <v>0</v>
      </c>
      <c r="H289" s="47"/>
      <c r="I289" s="51"/>
      <c r="J289" s="50"/>
      <c r="K289" s="49"/>
      <c r="L289" s="48" t="str">
        <f>IF(AND(LEN(K289)&gt;0,D289="APPROVED"),VLOOKUP(Table5[[#This Row],[COMPLETION %]],COMPL_STATUS,2,1),"")</f>
        <v/>
      </c>
      <c r="M289" s="47"/>
      <c r="N289" s="47"/>
      <c r="O289" s="46"/>
    </row>
    <row r="290" spans="3:15" s="55" customFormat="1" ht="15">
      <c r="C290" s="54"/>
      <c r="D290" s="54"/>
      <c r="E290" s="53"/>
      <c r="F290" s="53"/>
      <c r="G290" s="52">
        <f>ROUND($C$16*Table5[[#This Row],[Hours]],2)</f>
        <v>0</v>
      </c>
      <c r="H290" s="47"/>
      <c r="I290" s="51"/>
      <c r="J290" s="50"/>
      <c r="K290" s="49"/>
      <c r="L290" s="48" t="str">
        <f>IF(AND(LEN(K290)&gt;0,D290="APPROVED"),VLOOKUP(Table5[[#This Row],[COMPLETION %]],COMPL_STATUS,2,1),"")</f>
        <v/>
      </c>
      <c r="M290" s="47"/>
      <c r="N290" s="47"/>
      <c r="O290" s="46"/>
    </row>
    <row r="291" spans="3:15" s="55" customFormat="1" ht="15">
      <c r="C291" s="54"/>
      <c r="D291" s="54"/>
      <c r="E291" s="53"/>
      <c r="F291" s="53"/>
      <c r="G291" s="52">
        <f>ROUND($C$16*Table5[[#This Row],[Hours]],2)</f>
        <v>0</v>
      </c>
      <c r="H291" s="47"/>
      <c r="I291" s="51"/>
      <c r="J291" s="50"/>
      <c r="K291" s="49"/>
      <c r="L291" s="48" t="str">
        <f>IF(AND(LEN(K291)&gt;0,D291="APPROVED"),VLOOKUP(Table5[[#This Row],[COMPLETION %]],COMPL_STATUS,2,1),"")</f>
        <v/>
      </c>
      <c r="M291" s="47"/>
      <c r="N291" s="47"/>
      <c r="O291" s="46"/>
    </row>
    <row r="292" spans="3:15" s="55" customFormat="1" ht="15">
      <c r="C292" s="54"/>
      <c r="D292" s="54"/>
      <c r="E292" s="53"/>
      <c r="F292" s="53"/>
      <c r="G292" s="52">
        <f>ROUND($C$16*Table5[[#This Row],[Hours]],2)</f>
        <v>0</v>
      </c>
      <c r="H292" s="47"/>
      <c r="I292" s="51"/>
      <c r="J292" s="50"/>
      <c r="K292" s="49"/>
      <c r="L292" s="48" t="str">
        <f>IF(AND(LEN(K292)&gt;0,D292="APPROVED"),VLOOKUP(Table5[[#This Row],[COMPLETION %]],COMPL_STATUS,2,1),"")</f>
        <v/>
      </c>
      <c r="M292" s="47"/>
      <c r="N292" s="47"/>
      <c r="O292" s="46"/>
    </row>
    <row r="293" spans="3:15" s="55" customFormat="1" ht="15">
      <c r="C293" s="54"/>
      <c r="D293" s="54"/>
      <c r="E293" s="53"/>
      <c r="F293" s="53"/>
      <c r="G293" s="52">
        <f>ROUND($C$16*Table5[[#This Row],[Hours]],2)</f>
        <v>0</v>
      </c>
      <c r="H293" s="47"/>
      <c r="I293" s="51"/>
      <c r="J293" s="50"/>
      <c r="K293" s="49"/>
      <c r="L293" s="48" t="str">
        <f>IF(AND(LEN(K293)&gt;0,D293="APPROVED"),VLOOKUP(Table5[[#This Row],[COMPLETION %]],COMPL_STATUS,2,1),"")</f>
        <v/>
      </c>
      <c r="M293" s="47"/>
      <c r="N293" s="47"/>
      <c r="O293" s="46"/>
    </row>
    <row r="294" spans="3:15" s="55" customFormat="1" ht="15">
      <c r="C294" s="54"/>
      <c r="D294" s="54"/>
      <c r="E294" s="53"/>
      <c r="F294" s="53"/>
      <c r="G294" s="52">
        <f>ROUND($C$16*Table5[[#This Row],[Hours]],2)</f>
        <v>0</v>
      </c>
      <c r="H294" s="47"/>
      <c r="I294" s="51"/>
      <c r="J294" s="50"/>
      <c r="K294" s="49"/>
      <c r="L294" s="48" t="str">
        <f>IF(AND(LEN(K294)&gt;0,D294="APPROVED"),VLOOKUP(Table5[[#This Row],[COMPLETION %]],COMPL_STATUS,2,1),"")</f>
        <v/>
      </c>
      <c r="M294" s="47"/>
      <c r="N294" s="47"/>
      <c r="O294" s="46"/>
    </row>
    <row r="295" spans="3:15" s="55" customFormat="1" ht="15">
      <c r="C295" s="54"/>
      <c r="D295" s="54"/>
      <c r="E295" s="53"/>
      <c r="F295" s="53"/>
      <c r="G295" s="52">
        <f>ROUND($C$16*Table5[[#This Row],[Hours]],2)</f>
        <v>0</v>
      </c>
      <c r="H295" s="47"/>
      <c r="I295" s="51"/>
      <c r="J295" s="50"/>
      <c r="K295" s="49"/>
      <c r="L295" s="48" t="str">
        <f>IF(AND(LEN(K295)&gt;0,D295="APPROVED"),VLOOKUP(Table5[[#This Row],[COMPLETION %]],COMPL_STATUS,2,1),"")</f>
        <v/>
      </c>
      <c r="M295" s="47"/>
      <c r="N295" s="47"/>
      <c r="O295" s="46"/>
    </row>
    <row r="296" spans="3:15" s="55" customFormat="1" ht="15">
      <c r="C296" s="54"/>
      <c r="D296" s="54"/>
      <c r="E296" s="53"/>
      <c r="F296" s="53"/>
      <c r="G296" s="52">
        <f>ROUND($C$16*Table5[[#This Row],[Hours]],2)</f>
        <v>0</v>
      </c>
      <c r="H296" s="47"/>
      <c r="I296" s="51"/>
      <c r="J296" s="50"/>
      <c r="K296" s="49"/>
      <c r="L296" s="48" t="str">
        <f>IF(AND(LEN(K296)&gt;0,D296="APPROVED"),VLOOKUP(Table5[[#This Row],[COMPLETION %]],COMPL_STATUS,2,1),"")</f>
        <v/>
      </c>
      <c r="M296" s="47"/>
      <c r="N296" s="47"/>
      <c r="O296" s="46"/>
    </row>
    <row r="297" spans="3:15" s="55" customFormat="1" ht="15">
      <c r="C297" s="54"/>
      <c r="D297" s="54"/>
      <c r="E297" s="53"/>
      <c r="F297" s="53"/>
      <c r="G297" s="52">
        <f>ROUND($C$16*Table5[[#This Row],[Hours]],2)</f>
        <v>0</v>
      </c>
      <c r="H297" s="47"/>
      <c r="I297" s="51"/>
      <c r="J297" s="50"/>
      <c r="K297" s="49"/>
      <c r="L297" s="48" t="str">
        <f>IF(AND(LEN(K297)&gt;0,D297="APPROVED"),VLOOKUP(Table5[[#This Row],[COMPLETION %]],COMPL_STATUS,2,1),"")</f>
        <v/>
      </c>
      <c r="M297" s="47"/>
      <c r="N297" s="47"/>
      <c r="O297" s="46"/>
    </row>
    <row r="298" spans="3:15" s="55" customFormat="1" ht="15">
      <c r="C298" s="54"/>
      <c r="D298" s="54"/>
      <c r="E298" s="53"/>
      <c r="F298" s="53"/>
      <c r="G298" s="52">
        <f>ROUND($C$16*Table5[[#This Row],[Hours]],2)</f>
        <v>0</v>
      </c>
      <c r="H298" s="47"/>
      <c r="I298" s="51"/>
      <c r="J298" s="50"/>
      <c r="K298" s="49"/>
      <c r="L298" s="48" t="str">
        <f>IF(AND(LEN(K298)&gt;0,D298="APPROVED"),VLOOKUP(Table5[[#This Row],[COMPLETION %]],COMPL_STATUS,2,1),"")</f>
        <v/>
      </c>
      <c r="M298" s="47"/>
      <c r="N298" s="47"/>
      <c r="O298" s="46"/>
    </row>
    <row r="299" spans="3:15" s="55" customFormat="1" ht="15">
      <c r="C299" s="54"/>
      <c r="D299" s="54"/>
      <c r="E299" s="53"/>
      <c r="F299" s="53"/>
      <c r="G299" s="52">
        <f>ROUND($C$16*Table5[[#This Row],[Hours]],2)</f>
        <v>0</v>
      </c>
      <c r="H299" s="47"/>
      <c r="I299" s="51"/>
      <c r="J299" s="50"/>
      <c r="K299" s="49"/>
      <c r="L299" s="48" t="str">
        <f>IF(AND(LEN(K299)&gt;0,D299="APPROVED"),VLOOKUP(Table5[[#This Row],[COMPLETION %]],COMPL_STATUS,2,1),"")</f>
        <v/>
      </c>
      <c r="M299" s="47"/>
      <c r="N299" s="47"/>
      <c r="O299" s="46"/>
    </row>
    <row r="300" spans="3:15" s="55" customFormat="1" ht="15">
      <c r="C300" s="54"/>
      <c r="D300" s="54"/>
      <c r="E300" s="53"/>
      <c r="F300" s="53"/>
      <c r="G300" s="52">
        <f>ROUND($C$16*Table5[[#This Row],[Hours]],2)</f>
        <v>0</v>
      </c>
      <c r="H300" s="47"/>
      <c r="I300" s="51"/>
      <c r="J300" s="50"/>
      <c r="K300" s="49"/>
      <c r="L300" s="48" t="str">
        <f>IF(AND(LEN(K300)&gt;0,D300="APPROVED"),VLOOKUP(Table5[[#This Row],[COMPLETION %]],COMPL_STATUS,2,1),"")</f>
        <v/>
      </c>
      <c r="M300" s="47"/>
      <c r="N300" s="47"/>
      <c r="O300" s="46"/>
    </row>
    <row r="301" spans="3:15" s="55" customFormat="1" ht="15">
      <c r="C301" s="54"/>
      <c r="D301" s="54"/>
      <c r="E301" s="53"/>
      <c r="F301" s="53"/>
      <c r="G301" s="52">
        <f>ROUND($C$16*Table5[[#This Row],[Hours]],2)</f>
        <v>0</v>
      </c>
      <c r="H301" s="47"/>
      <c r="I301" s="51"/>
      <c r="J301" s="50"/>
      <c r="K301" s="49"/>
      <c r="L301" s="48" t="str">
        <f>IF(AND(LEN(K301)&gt;0,D301="APPROVED"),VLOOKUP(Table5[[#This Row],[COMPLETION %]],COMPL_STATUS,2,1),"")</f>
        <v/>
      </c>
      <c r="M301" s="47"/>
      <c r="N301" s="47"/>
      <c r="O301" s="46"/>
    </row>
    <row r="302" spans="3:15" s="55" customFormat="1" ht="15">
      <c r="C302" s="54"/>
      <c r="D302" s="54"/>
      <c r="E302" s="53"/>
      <c r="F302" s="53"/>
      <c r="G302" s="52">
        <f>ROUND($C$16*Table5[[#This Row],[Hours]],2)</f>
        <v>0</v>
      </c>
      <c r="H302" s="47"/>
      <c r="I302" s="51"/>
      <c r="J302" s="50"/>
      <c r="K302" s="49"/>
      <c r="L302" s="48" t="str">
        <f>IF(AND(LEN(K302)&gt;0,D302="APPROVED"),VLOOKUP(Table5[[#This Row],[COMPLETION %]],COMPL_STATUS,2,1),"")</f>
        <v/>
      </c>
      <c r="M302" s="47"/>
      <c r="N302" s="47"/>
      <c r="O302" s="46"/>
    </row>
    <row r="303" spans="3:15" s="55" customFormat="1" ht="15">
      <c r="C303" s="54"/>
      <c r="D303" s="54"/>
      <c r="E303" s="53"/>
      <c r="F303" s="53"/>
      <c r="G303" s="52">
        <f>ROUND($C$16*Table5[[#This Row],[Hours]],2)</f>
        <v>0</v>
      </c>
      <c r="H303" s="47"/>
      <c r="I303" s="51"/>
      <c r="J303" s="50"/>
      <c r="K303" s="49"/>
      <c r="L303" s="48" t="str">
        <f>IF(AND(LEN(K303)&gt;0,D303="APPROVED"),VLOOKUP(Table5[[#This Row],[COMPLETION %]],COMPL_STATUS,2,1),"")</f>
        <v/>
      </c>
      <c r="M303" s="47"/>
      <c r="N303" s="47"/>
      <c r="O303" s="46"/>
    </row>
    <row r="304" spans="3:15" s="55" customFormat="1" ht="15">
      <c r="C304" s="54"/>
      <c r="D304" s="54"/>
      <c r="E304" s="53"/>
      <c r="F304" s="53"/>
      <c r="G304" s="52">
        <f>ROUND($C$16*Table5[[#This Row],[Hours]],2)</f>
        <v>0</v>
      </c>
      <c r="H304" s="47"/>
      <c r="I304" s="51"/>
      <c r="J304" s="50"/>
      <c r="K304" s="49"/>
      <c r="L304" s="48" t="str">
        <f>IF(AND(LEN(K304)&gt;0,D304="APPROVED"),VLOOKUP(Table5[[#This Row],[COMPLETION %]],COMPL_STATUS,2,1),"")</f>
        <v/>
      </c>
      <c r="M304" s="47"/>
      <c r="N304" s="47"/>
      <c r="O304" s="46"/>
    </row>
    <row r="305" spans="3:15" s="55" customFormat="1" ht="15">
      <c r="C305" s="54"/>
      <c r="D305" s="54"/>
      <c r="E305" s="53"/>
      <c r="F305" s="53"/>
      <c r="G305" s="52">
        <f>ROUND($C$16*Table5[[#This Row],[Hours]],2)</f>
        <v>0</v>
      </c>
      <c r="H305" s="47"/>
      <c r="I305" s="51"/>
      <c r="J305" s="50"/>
      <c r="K305" s="49"/>
      <c r="L305" s="48" t="str">
        <f>IF(AND(LEN(K305)&gt;0,D305="APPROVED"),VLOOKUP(Table5[[#This Row],[COMPLETION %]],COMPL_STATUS,2,1),"")</f>
        <v/>
      </c>
      <c r="M305" s="47"/>
      <c r="N305" s="47"/>
      <c r="O305" s="46"/>
    </row>
    <row r="306" spans="3:15" s="55" customFormat="1" ht="15">
      <c r="C306" s="54"/>
      <c r="D306" s="54"/>
      <c r="E306" s="53"/>
      <c r="F306" s="53"/>
      <c r="G306" s="52">
        <f>ROUND($C$16*Table5[[#This Row],[Hours]],2)</f>
        <v>0</v>
      </c>
      <c r="H306" s="47"/>
      <c r="I306" s="51"/>
      <c r="J306" s="50"/>
      <c r="K306" s="49"/>
      <c r="L306" s="48" t="str">
        <f>IF(AND(LEN(K306)&gt;0,D306="APPROVED"),VLOOKUP(Table5[[#This Row],[COMPLETION %]],COMPL_STATUS,2,1),"")</f>
        <v/>
      </c>
      <c r="M306" s="47"/>
      <c r="N306" s="47"/>
      <c r="O306" s="46"/>
    </row>
    <row r="307" spans="3:15" s="55" customFormat="1" ht="15">
      <c r="C307" s="54"/>
      <c r="D307" s="54"/>
      <c r="E307" s="53"/>
      <c r="F307" s="53"/>
      <c r="G307" s="52">
        <f>ROUND($C$16*Table5[[#This Row],[Hours]],2)</f>
        <v>0</v>
      </c>
      <c r="H307" s="47"/>
      <c r="I307" s="51"/>
      <c r="J307" s="50"/>
      <c r="K307" s="49"/>
      <c r="L307" s="48" t="str">
        <f>IF(AND(LEN(K307)&gt;0,D307="APPROVED"),VLOOKUP(Table5[[#This Row],[COMPLETION %]],COMPL_STATUS,2,1),"")</f>
        <v/>
      </c>
      <c r="M307" s="47"/>
      <c r="N307" s="47"/>
      <c r="O307" s="46"/>
    </row>
    <row r="308" spans="3:15" s="55" customFormat="1" ht="15">
      <c r="C308" s="54"/>
      <c r="D308" s="54"/>
      <c r="E308" s="53"/>
      <c r="F308" s="53"/>
      <c r="G308" s="52">
        <f>ROUND($C$16*Table5[[#This Row],[Hours]],2)</f>
        <v>0</v>
      </c>
      <c r="H308" s="47"/>
      <c r="I308" s="51"/>
      <c r="J308" s="50"/>
      <c r="K308" s="49"/>
      <c r="L308" s="48" t="str">
        <f>IF(AND(LEN(K308)&gt;0,D308="APPROVED"),VLOOKUP(Table5[[#This Row],[COMPLETION %]],COMPL_STATUS,2,1),"")</f>
        <v/>
      </c>
      <c r="M308" s="47"/>
      <c r="N308" s="47"/>
      <c r="O308" s="46"/>
    </row>
    <row r="309" spans="3:15" s="55" customFormat="1" ht="15">
      <c r="C309" s="54"/>
      <c r="D309" s="54"/>
      <c r="E309" s="53"/>
      <c r="F309" s="53"/>
      <c r="G309" s="52">
        <f>ROUND($C$16*Table5[[#This Row],[Hours]],2)</f>
        <v>0</v>
      </c>
      <c r="H309" s="47"/>
      <c r="I309" s="51"/>
      <c r="J309" s="50"/>
      <c r="K309" s="49"/>
      <c r="L309" s="48" t="str">
        <f>IF(AND(LEN(K309)&gt;0,D309="APPROVED"),VLOOKUP(Table5[[#This Row],[COMPLETION %]],COMPL_STATUS,2,1),"")</f>
        <v/>
      </c>
      <c r="M309" s="47"/>
      <c r="N309" s="47"/>
      <c r="O309" s="46"/>
    </row>
    <row r="310" spans="3:15" s="55" customFormat="1" ht="15">
      <c r="C310" s="54"/>
      <c r="D310" s="54"/>
      <c r="E310" s="53"/>
      <c r="F310" s="53"/>
      <c r="G310" s="52">
        <f>ROUND($C$16*Table5[[#This Row],[Hours]],2)</f>
        <v>0</v>
      </c>
      <c r="H310" s="47"/>
      <c r="I310" s="51"/>
      <c r="J310" s="50"/>
      <c r="K310" s="49"/>
      <c r="L310" s="48" t="str">
        <f>IF(AND(LEN(K310)&gt;0,D310="APPROVED"),VLOOKUP(Table5[[#This Row],[COMPLETION %]],COMPL_STATUS,2,1),"")</f>
        <v/>
      </c>
      <c r="M310" s="47"/>
      <c r="N310" s="47"/>
      <c r="O310" s="46"/>
    </row>
    <row r="311" spans="3:15" s="55" customFormat="1" ht="15">
      <c r="C311" s="54"/>
      <c r="D311" s="54"/>
      <c r="E311" s="53"/>
      <c r="F311" s="53"/>
      <c r="G311" s="52">
        <f>ROUND($C$16*Table5[[#This Row],[Hours]],2)</f>
        <v>0</v>
      </c>
      <c r="H311" s="47"/>
      <c r="I311" s="51"/>
      <c r="J311" s="50"/>
      <c r="K311" s="49"/>
      <c r="L311" s="48" t="str">
        <f>IF(AND(LEN(K311)&gt;0,D311="APPROVED"),VLOOKUP(Table5[[#This Row],[COMPLETION %]],COMPL_STATUS,2,1),"")</f>
        <v/>
      </c>
      <c r="M311" s="47"/>
      <c r="N311" s="47"/>
      <c r="O311" s="46"/>
    </row>
    <row r="312" spans="3:15" s="55" customFormat="1" ht="15">
      <c r="C312" s="54"/>
      <c r="D312" s="54"/>
      <c r="E312" s="53"/>
      <c r="F312" s="53"/>
      <c r="G312" s="52">
        <f>ROUND($C$16*Table5[[#This Row],[Hours]],2)</f>
        <v>0</v>
      </c>
      <c r="H312" s="47"/>
      <c r="I312" s="51"/>
      <c r="J312" s="50"/>
      <c r="K312" s="49"/>
      <c r="L312" s="48" t="str">
        <f>IF(AND(LEN(K312)&gt;0,D312="APPROVED"),VLOOKUP(Table5[[#This Row],[COMPLETION %]],COMPL_STATUS,2,1),"")</f>
        <v/>
      </c>
      <c r="M312" s="47"/>
      <c r="N312" s="47"/>
      <c r="O312" s="46"/>
    </row>
    <row r="313" spans="3:15" s="55" customFormat="1" ht="15">
      <c r="C313" s="54"/>
      <c r="D313" s="54"/>
      <c r="E313" s="53"/>
      <c r="F313" s="53"/>
      <c r="G313" s="52">
        <f>ROUND($C$16*Table5[[#This Row],[Hours]],2)</f>
        <v>0</v>
      </c>
      <c r="H313" s="47"/>
      <c r="I313" s="51"/>
      <c r="J313" s="50"/>
      <c r="K313" s="49"/>
      <c r="L313" s="48" t="str">
        <f>IF(AND(LEN(K313)&gt;0,D313="APPROVED"),VLOOKUP(Table5[[#This Row],[COMPLETION %]],COMPL_STATUS,2,1),"")</f>
        <v/>
      </c>
      <c r="M313" s="47"/>
      <c r="N313" s="47"/>
      <c r="O313" s="46"/>
    </row>
    <row r="314" spans="3:15" s="55" customFormat="1" ht="15">
      <c r="C314" s="54"/>
      <c r="D314" s="54"/>
      <c r="E314" s="53"/>
      <c r="F314" s="53"/>
      <c r="G314" s="52">
        <f>ROUND($C$16*Table5[[#This Row],[Hours]],2)</f>
        <v>0</v>
      </c>
      <c r="H314" s="47"/>
      <c r="I314" s="51"/>
      <c r="J314" s="50"/>
      <c r="K314" s="49"/>
      <c r="L314" s="48" t="str">
        <f>IF(AND(LEN(K314)&gt;0,D314="APPROVED"),VLOOKUP(Table5[[#This Row],[COMPLETION %]],COMPL_STATUS,2,1),"")</f>
        <v/>
      </c>
      <c r="M314" s="47"/>
      <c r="N314" s="47"/>
      <c r="O314" s="46"/>
    </row>
    <row r="315" spans="3:15" s="55" customFormat="1" ht="15">
      <c r="C315" s="54"/>
      <c r="D315" s="54"/>
      <c r="E315" s="53"/>
      <c r="F315" s="53"/>
      <c r="G315" s="52">
        <f>ROUND($C$16*Table5[[#This Row],[Hours]],2)</f>
        <v>0</v>
      </c>
      <c r="H315" s="47"/>
      <c r="I315" s="51"/>
      <c r="J315" s="50"/>
      <c r="K315" s="49"/>
      <c r="L315" s="48" t="str">
        <f>IF(AND(LEN(K315)&gt;0,D315="APPROVED"),VLOOKUP(Table5[[#This Row],[COMPLETION %]],COMPL_STATUS,2,1),"")</f>
        <v/>
      </c>
      <c r="M315" s="47"/>
      <c r="N315" s="47"/>
      <c r="O315" s="46"/>
    </row>
    <row r="316" spans="3:15" s="55" customFormat="1" ht="15">
      <c r="C316" s="54"/>
      <c r="D316" s="54"/>
      <c r="E316" s="53"/>
      <c r="F316" s="53"/>
      <c r="G316" s="52">
        <f>ROUND($C$16*Table5[[#This Row],[Hours]],2)</f>
        <v>0</v>
      </c>
      <c r="H316" s="47"/>
      <c r="I316" s="51"/>
      <c r="J316" s="50"/>
      <c r="K316" s="49"/>
      <c r="L316" s="48" t="str">
        <f>IF(AND(LEN(K316)&gt;0,D316="APPROVED"),VLOOKUP(Table5[[#This Row],[COMPLETION %]],COMPL_STATUS,2,1),"")</f>
        <v/>
      </c>
      <c r="M316" s="47"/>
      <c r="N316" s="47"/>
      <c r="O316" s="46"/>
    </row>
    <row r="317" spans="3:15" s="55" customFormat="1" ht="15">
      <c r="C317" s="54"/>
      <c r="D317" s="54"/>
      <c r="E317" s="53"/>
      <c r="F317" s="53"/>
      <c r="G317" s="52">
        <f>ROUND($C$16*Table5[[#This Row],[Hours]],2)</f>
        <v>0</v>
      </c>
      <c r="H317" s="47"/>
      <c r="I317" s="51"/>
      <c r="J317" s="50"/>
      <c r="K317" s="49"/>
      <c r="L317" s="48" t="str">
        <f>IF(AND(LEN(K317)&gt;0,D317="APPROVED"),VLOOKUP(Table5[[#This Row],[COMPLETION %]],COMPL_STATUS,2,1),"")</f>
        <v/>
      </c>
      <c r="M317" s="47"/>
      <c r="N317" s="47"/>
      <c r="O317" s="46"/>
    </row>
    <row r="318" spans="3:15" s="55" customFormat="1" ht="15">
      <c r="C318" s="54"/>
      <c r="D318" s="54"/>
      <c r="E318" s="53"/>
      <c r="F318" s="53"/>
      <c r="G318" s="52">
        <f>ROUND($C$16*Table5[[#This Row],[Hours]],2)</f>
        <v>0</v>
      </c>
      <c r="H318" s="47"/>
      <c r="I318" s="51"/>
      <c r="J318" s="50"/>
      <c r="K318" s="49"/>
      <c r="L318" s="48" t="str">
        <f>IF(AND(LEN(K318)&gt;0,D318="APPROVED"),VLOOKUP(Table5[[#This Row],[COMPLETION %]],COMPL_STATUS,2,1),"")</f>
        <v/>
      </c>
      <c r="M318" s="47"/>
      <c r="N318" s="47"/>
      <c r="O318" s="46"/>
    </row>
    <row r="319" spans="3:15" s="55" customFormat="1" ht="15">
      <c r="C319" s="54"/>
      <c r="D319" s="54"/>
      <c r="E319" s="53"/>
      <c r="F319" s="53"/>
      <c r="G319" s="52">
        <f>ROUND($C$16*Table5[[#This Row],[Hours]],2)</f>
        <v>0</v>
      </c>
      <c r="H319" s="47"/>
      <c r="I319" s="51"/>
      <c r="J319" s="50"/>
      <c r="K319" s="49"/>
      <c r="L319" s="48" t="str">
        <f>IF(AND(LEN(K319)&gt;0,D319="APPROVED"),VLOOKUP(Table5[[#This Row],[COMPLETION %]],COMPL_STATUS,2,1),"")</f>
        <v/>
      </c>
      <c r="M319" s="47"/>
      <c r="N319" s="47"/>
      <c r="O319" s="46"/>
    </row>
    <row r="320" spans="3:15" s="55" customFormat="1" ht="15">
      <c r="C320" s="54"/>
      <c r="D320" s="54"/>
      <c r="E320" s="53"/>
      <c r="F320" s="53"/>
      <c r="G320" s="52">
        <f>ROUND($C$16*Table5[[#This Row],[Hours]],2)</f>
        <v>0</v>
      </c>
      <c r="H320" s="47"/>
      <c r="I320" s="51"/>
      <c r="J320" s="50"/>
      <c r="K320" s="49"/>
      <c r="L320" s="48" t="str">
        <f>IF(AND(LEN(K320)&gt;0,D320="APPROVED"),VLOOKUP(Table5[[#This Row],[COMPLETION %]],COMPL_STATUS,2,1),"")</f>
        <v/>
      </c>
      <c r="M320" s="47"/>
      <c r="N320" s="47"/>
      <c r="O320" s="46"/>
    </row>
    <row r="321" spans="3:15" s="55" customFormat="1" ht="15">
      <c r="C321" s="54"/>
      <c r="D321" s="54"/>
      <c r="E321" s="53"/>
      <c r="F321" s="53"/>
      <c r="G321" s="52">
        <f>ROUND($C$16*Table5[[#This Row],[Hours]],2)</f>
        <v>0</v>
      </c>
      <c r="H321" s="47"/>
      <c r="I321" s="51"/>
      <c r="J321" s="50"/>
      <c r="K321" s="49"/>
      <c r="L321" s="48" t="str">
        <f>IF(AND(LEN(K321)&gt;0,D321="APPROVED"),VLOOKUP(Table5[[#This Row],[COMPLETION %]],COMPL_STATUS,2,1),"")</f>
        <v/>
      </c>
      <c r="M321" s="47"/>
      <c r="N321" s="47"/>
      <c r="O321" s="46"/>
    </row>
    <row r="322" spans="3:15" s="55" customFormat="1" ht="15">
      <c r="C322" s="54"/>
      <c r="D322" s="54"/>
      <c r="E322" s="53"/>
      <c r="F322" s="53"/>
      <c r="G322" s="52">
        <f>ROUND($C$16*Table5[[#This Row],[Hours]],2)</f>
        <v>0</v>
      </c>
      <c r="H322" s="47"/>
      <c r="I322" s="51"/>
      <c r="J322" s="50"/>
      <c r="K322" s="49"/>
      <c r="L322" s="48" t="str">
        <f>IF(AND(LEN(K322)&gt;0,D322="APPROVED"),VLOOKUP(Table5[[#This Row],[COMPLETION %]],COMPL_STATUS,2,1),"")</f>
        <v/>
      </c>
      <c r="M322" s="47"/>
      <c r="N322" s="47"/>
      <c r="O322" s="46"/>
    </row>
    <row r="323" spans="3:15" s="55" customFormat="1" ht="15">
      <c r="C323" s="54"/>
      <c r="D323" s="54"/>
      <c r="E323" s="53"/>
      <c r="F323" s="53"/>
      <c r="G323" s="52">
        <f>ROUND($C$16*Table5[[#This Row],[Hours]],2)</f>
        <v>0</v>
      </c>
      <c r="H323" s="47"/>
      <c r="I323" s="51"/>
      <c r="J323" s="50"/>
      <c r="K323" s="49"/>
      <c r="L323" s="48" t="str">
        <f>IF(AND(LEN(K323)&gt;0,D323="APPROVED"),VLOOKUP(Table5[[#This Row],[COMPLETION %]],COMPL_STATUS,2,1),"")</f>
        <v/>
      </c>
      <c r="M323" s="47"/>
      <c r="N323" s="47"/>
      <c r="O323" s="46"/>
    </row>
    <row r="324" spans="3:15" s="55" customFormat="1" ht="15">
      <c r="C324" s="54"/>
      <c r="D324" s="54"/>
      <c r="E324" s="53"/>
      <c r="F324" s="53"/>
      <c r="G324" s="52">
        <f>ROUND($C$16*Table5[[#This Row],[Hours]],2)</f>
        <v>0</v>
      </c>
      <c r="H324" s="47"/>
      <c r="I324" s="51"/>
      <c r="J324" s="50"/>
      <c r="K324" s="49"/>
      <c r="L324" s="48" t="str">
        <f>IF(AND(LEN(K324)&gt;0,D324="APPROVED"),VLOOKUP(Table5[[#This Row],[COMPLETION %]],COMPL_STATUS,2,1),"")</f>
        <v/>
      </c>
      <c r="M324" s="47"/>
      <c r="N324" s="47"/>
      <c r="O324" s="46"/>
    </row>
    <row r="325" spans="3:15" s="55" customFormat="1" ht="15">
      <c r="C325" s="54"/>
      <c r="D325" s="54"/>
      <c r="E325" s="53"/>
      <c r="F325" s="53"/>
      <c r="G325" s="52">
        <f>ROUND($C$16*Table5[[#This Row],[Hours]],2)</f>
        <v>0</v>
      </c>
      <c r="H325" s="47"/>
      <c r="I325" s="51"/>
      <c r="J325" s="50"/>
      <c r="K325" s="49"/>
      <c r="L325" s="48" t="str">
        <f>IF(AND(LEN(K325)&gt;0,D325="APPROVED"),VLOOKUP(Table5[[#This Row],[COMPLETION %]],COMPL_STATUS,2,1),"")</f>
        <v/>
      </c>
      <c r="M325" s="47"/>
      <c r="N325" s="47"/>
      <c r="O325" s="46"/>
    </row>
    <row r="326" spans="3:15" s="55" customFormat="1" ht="15">
      <c r="C326" s="54"/>
      <c r="D326" s="54"/>
      <c r="E326" s="53"/>
      <c r="F326" s="53"/>
      <c r="G326" s="52">
        <f>ROUND($C$16*Table5[[#This Row],[Hours]],2)</f>
        <v>0</v>
      </c>
      <c r="H326" s="47"/>
      <c r="I326" s="51"/>
      <c r="J326" s="50"/>
      <c r="K326" s="49"/>
      <c r="L326" s="48" t="str">
        <f>IF(AND(LEN(K326)&gt;0,D326="APPROVED"),VLOOKUP(Table5[[#This Row],[COMPLETION %]],COMPL_STATUS,2,1),"")</f>
        <v/>
      </c>
      <c r="M326" s="47"/>
      <c r="N326" s="47"/>
      <c r="O326" s="46"/>
    </row>
    <row r="327" spans="3:15" s="55" customFormat="1" ht="15">
      <c r="C327" s="54"/>
      <c r="D327" s="54"/>
      <c r="E327" s="53"/>
      <c r="F327" s="53"/>
      <c r="G327" s="52">
        <f>ROUND($C$16*Table5[[#This Row],[Hours]],2)</f>
        <v>0</v>
      </c>
      <c r="H327" s="47"/>
      <c r="I327" s="51"/>
      <c r="J327" s="50"/>
      <c r="K327" s="49"/>
      <c r="L327" s="48" t="str">
        <f>IF(AND(LEN(K327)&gt;0,D327="APPROVED"),VLOOKUP(Table5[[#This Row],[COMPLETION %]],COMPL_STATUS,2,1),"")</f>
        <v/>
      </c>
      <c r="M327" s="47"/>
      <c r="N327" s="47"/>
      <c r="O327" s="46"/>
    </row>
    <row r="328" spans="3:15" s="55" customFormat="1" ht="15">
      <c r="C328" s="54"/>
      <c r="D328" s="54"/>
      <c r="E328" s="53"/>
      <c r="F328" s="53"/>
      <c r="G328" s="52">
        <f>ROUND($C$16*Table5[[#This Row],[Hours]],2)</f>
        <v>0</v>
      </c>
      <c r="H328" s="47"/>
      <c r="I328" s="51"/>
      <c r="J328" s="50"/>
      <c r="K328" s="49"/>
      <c r="L328" s="48" t="str">
        <f>IF(AND(LEN(K328)&gt;0,D328="APPROVED"),VLOOKUP(Table5[[#This Row],[COMPLETION %]],COMPL_STATUS,2,1),"")</f>
        <v/>
      </c>
      <c r="M328" s="47"/>
      <c r="N328" s="47"/>
      <c r="O328" s="46"/>
    </row>
    <row r="329" spans="3:15" s="55" customFormat="1" ht="15">
      <c r="C329" s="54"/>
      <c r="D329" s="54"/>
      <c r="E329" s="53"/>
      <c r="F329" s="53"/>
      <c r="G329" s="52">
        <f>ROUND($C$16*Table5[[#This Row],[Hours]],2)</f>
        <v>0</v>
      </c>
      <c r="H329" s="47"/>
      <c r="I329" s="51"/>
      <c r="J329" s="50"/>
      <c r="K329" s="49"/>
      <c r="L329" s="48" t="str">
        <f>IF(AND(LEN(K329)&gt;0,D329="APPROVED"),VLOOKUP(Table5[[#This Row],[COMPLETION %]],COMPL_STATUS,2,1),"")</f>
        <v/>
      </c>
      <c r="M329" s="47"/>
      <c r="N329" s="47"/>
      <c r="O329" s="46"/>
    </row>
    <row r="330" spans="3:15" s="55" customFormat="1" ht="15">
      <c r="C330" s="54"/>
      <c r="D330" s="54"/>
      <c r="E330" s="53"/>
      <c r="F330" s="53"/>
      <c r="G330" s="52">
        <f>ROUND($C$16*Table5[[#This Row],[Hours]],2)</f>
        <v>0</v>
      </c>
      <c r="H330" s="47"/>
      <c r="I330" s="51"/>
      <c r="J330" s="50"/>
      <c r="K330" s="49"/>
      <c r="L330" s="48" t="str">
        <f>IF(AND(LEN(K330)&gt;0,D330="APPROVED"),VLOOKUP(Table5[[#This Row],[COMPLETION %]],COMPL_STATUS,2,1),"")</f>
        <v/>
      </c>
      <c r="M330" s="47"/>
      <c r="N330" s="47"/>
      <c r="O330" s="46"/>
    </row>
    <row r="331" spans="3:15" s="55" customFormat="1" ht="15">
      <c r="C331" s="54"/>
      <c r="D331" s="54"/>
      <c r="E331" s="53"/>
      <c r="F331" s="53"/>
      <c r="G331" s="52">
        <f>ROUND($C$16*Table5[[#This Row],[Hours]],2)</f>
        <v>0</v>
      </c>
      <c r="H331" s="47"/>
      <c r="I331" s="51"/>
      <c r="J331" s="50"/>
      <c r="K331" s="49"/>
      <c r="L331" s="48" t="str">
        <f>IF(AND(LEN(K331)&gt;0,D331="APPROVED"),VLOOKUP(Table5[[#This Row],[COMPLETION %]],COMPL_STATUS,2,1),"")</f>
        <v/>
      </c>
      <c r="M331" s="47"/>
      <c r="N331" s="47"/>
      <c r="O331" s="46"/>
    </row>
    <row r="332" spans="3:15" s="55" customFormat="1" ht="15">
      <c r="C332" s="54"/>
      <c r="D332" s="54"/>
      <c r="E332" s="53"/>
      <c r="F332" s="53"/>
      <c r="G332" s="52">
        <f>ROUND($C$16*Table5[[#This Row],[Hours]],2)</f>
        <v>0</v>
      </c>
      <c r="H332" s="47"/>
      <c r="I332" s="51"/>
      <c r="J332" s="50"/>
      <c r="K332" s="49"/>
      <c r="L332" s="48" t="str">
        <f>IF(AND(LEN(K332)&gt;0,D332="APPROVED"),VLOOKUP(Table5[[#This Row],[COMPLETION %]],COMPL_STATUS,2,1),"")</f>
        <v/>
      </c>
      <c r="M332" s="47"/>
      <c r="N332" s="47"/>
      <c r="O332" s="46"/>
    </row>
    <row r="333" spans="3:15" s="55" customFormat="1" ht="15">
      <c r="C333" s="54"/>
      <c r="D333" s="54"/>
      <c r="E333" s="53"/>
      <c r="F333" s="53"/>
      <c r="G333" s="52">
        <f>ROUND($C$16*Table5[[#This Row],[Hours]],2)</f>
        <v>0</v>
      </c>
      <c r="H333" s="47"/>
      <c r="I333" s="51"/>
      <c r="J333" s="50"/>
      <c r="K333" s="49"/>
      <c r="L333" s="48" t="str">
        <f>IF(AND(LEN(K333)&gt;0,D333="APPROVED"),VLOOKUP(Table5[[#This Row],[COMPLETION %]],COMPL_STATUS,2,1),"")</f>
        <v/>
      </c>
      <c r="M333" s="47"/>
      <c r="N333" s="47"/>
      <c r="O333" s="46"/>
    </row>
    <row r="334" spans="3:15" s="55" customFormat="1" ht="15">
      <c r="C334" s="54"/>
      <c r="D334" s="54"/>
      <c r="E334" s="53"/>
      <c r="F334" s="53"/>
      <c r="G334" s="52">
        <f>ROUND($C$16*Table5[[#This Row],[Hours]],2)</f>
        <v>0</v>
      </c>
      <c r="H334" s="47"/>
      <c r="I334" s="51"/>
      <c r="J334" s="50"/>
      <c r="K334" s="49"/>
      <c r="L334" s="48" t="str">
        <f>IF(AND(LEN(K334)&gt;0,D334="APPROVED"),VLOOKUP(Table5[[#This Row],[COMPLETION %]],COMPL_STATUS,2,1),"")</f>
        <v/>
      </c>
      <c r="M334" s="47"/>
      <c r="N334" s="47"/>
      <c r="O334" s="46"/>
    </row>
    <row r="335" spans="3:15" s="55" customFormat="1" ht="15">
      <c r="C335" s="54"/>
      <c r="D335" s="54"/>
      <c r="E335" s="53"/>
      <c r="F335" s="53"/>
      <c r="G335" s="52">
        <f>ROUND($C$16*Table5[[#This Row],[Hours]],2)</f>
        <v>0</v>
      </c>
      <c r="H335" s="47"/>
      <c r="I335" s="51"/>
      <c r="J335" s="50"/>
      <c r="K335" s="49"/>
      <c r="L335" s="48" t="str">
        <f>IF(AND(LEN(K335)&gt;0,D335="APPROVED"),VLOOKUP(Table5[[#This Row],[COMPLETION %]],COMPL_STATUS,2,1),"")</f>
        <v/>
      </c>
      <c r="M335" s="47"/>
      <c r="N335" s="47"/>
      <c r="O335" s="46"/>
    </row>
    <row r="336" spans="3:15" s="55" customFormat="1" ht="15">
      <c r="C336" s="54"/>
      <c r="D336" s="54"/>
      <c r="E336" s="53"/>
      <c r="F336" s="53"/>
      <c r="G336" s="52">
        <f>ROUND($C$16*Table5[[#This Row],[Hours]],2)</f>
        <v>0</v>
      </c>
      <c r="H336" s="47"/>
      <c r="I336" s="51"/>
      <c r="J336" s="50"/>
      <c r="K336" s="49"/>
      <c r="L336" s="48" t="str">
        <f>IF(AND(LEN(K336)&gt;0,D336="APPROVED"),VLOOKUP(Table5[[#This Row],[COMPLETION %]],COMPL_STATUS,2,1),"")</f>
        <v/>
      </c>
      <c r="M336" s="47"/>
      <c r="N336" s="47"/>
      <c r="O336" s="46"/>
    </row>
    <row r="337" spans="3:15" s="55" customFormat="1" ht="15">
      <c r="C337" s="54"/>
      <c r="D337" s="54"/>
      <c r="E337" s="53"/>
      <c r="F337" s="53"/>
      <c r="G337" s="52">
        <f>ROUND($C$16*Table5[[#This Row],[Hours]],2)</f>
        <v>0</v>
      </c>
      <c r="H337" s="47"/>
      <c r="I337" s="51"/>
      <c r="J337" s="50"/>
      <c r="K337" s="49"/>
      <c r="L337" s="48" t="str">
        <f>IF(AND(LEN(K337)&gt;0,D337="APPROVED"),VLOOKUP(Table5[[#This Row],[COMPLETION %]],COMPL_STATUS,2,1),"")</f>
        <v/>
      </c>
      <c r="M337" s="47"/>
      <c r="N337" s="47"/>
      <c r="O337" s="46"/>
    </row>
    <row r="338" spans="3:15" s="55" customFormat="1" ht="15">
      <c r="C338" s="54"/>
      <c r="D338" s="54"/>
      <c r="E338" s="53"/>
      <c r="F338" s="53"/>
      <c r="G338" s="52">
        <f>ROUND($C$16*Table5[[#This Row],[Hours]],2)</f>
        <v>0</v>
      </c>
      <c r="H338" s="47"/>
      <c r="I338" s="51"/>
      <c r="J338" s="50"/>
      <c r="K338" s="49"/>
      <c r="L338" s="48" t="str">
        <f>IF(AND(LEN(K338)&gt;0,D338="APPROVED"),VLOOKUP(Table5[[#This Row],[COMPLETION %]],COMPL_STATUS,2,1),"")</f>
        <v/>
      </c>
      <c r="M338" s="47"/>
      <c r="N338" s="47"/>
      <c r="O338" s="46"/>
    </row>
    <row r="339" spans="3:15" s="55" customFormat="1" ht="15">
      <c r="C339" s="54"/>
      <c r="D339" s="54"/>
      <c r="E339" s="53"/>
      <c r="F339" s="53"/>
      <c r="G339" s="52">
        <f>ROUND($C$16*Table5[[#This Row],[Hours]],2)</f>
        <v>0</v>
      </c>
      <c r="H339" s="47"/>
      <c r="I339" s="51"/>
      <c r="J339" s="50"/>
      <c r="K339" s="49"/>
      <c r="L339" s="48" t="str">
        <f>IF(AND(LEN(K339)&gt;0,D339="APPROVED"),VLOOKUP(Table5[[#This Row],[COMPLETION %]],COMPL_STATUS,2,1),"")</f>
        <v/>
      </c>
      <c r="M339" s="47"/>
      <c r="N339" s="47"/>
      <c r="O339" s="46"/>
    </row>
    <row r="340" spans="3:15" s="55" customFormat="1" ht="15">
      <c r="C340" s="54"/>
      <c r="D340" s="54"/>
      <c r="E340" s="53"/>
      <c r="F340" s="53"/>
      <c r="G340" s="52">
        <f>ROUND($C$16*Table5[[#This Row],[Hours]],2)</f>
        <v>0</v>
      </c>
      <c r="H340" s="47"/>
      <c r="I340" s="51"/>
      <c r="J340" s="50"/>
      <c r="K340" s="49"/>
      <c r="L340" s="48" t="str">
        <f>IF(AND(LEN(K340)&gt;0,D340="APPROVED"),VLOOKUP(Table5[[#This Row],[COMPLETION %]],COMPL_STATUS,2,1),"")</f>
        <v/>
      </c>
      <c r="M340" s="47"/>
      <c r="N340" s="47"/>
      <c r="O340" s="46"/>
    </row>
    <row r="341" spans="3:15" s="55" customFormat="1" ht="15">
      <c r="C341" s="54"/>
      <c r="D341" s="54"/>
      <c r="E341" s="53"/>
      <c r="F341" s="53"/>
      <c r="G341" s="52">
        <f>ROUND($C$16*Table5[[#This Row],[Hours]],2)</f>
        <v>0</v>
      </c>
      <c r="H341" s="47"/>
      <c r="I341" s="51"/>
      <c r="J341" s="50"/>
      <c r="K341" s="49"/>
      <c r="L341" s="48" t="str">
        <f>IF(AND(LEN(K341)&gt;0,D341="APPROVED"),VLOOKUP(Table5[[#This Row],[COMPLETION %]],COMPL_STATUS,2,1),"")</f>
        <v/>
      </c>
      <c r="M341" s="47"/>
      <c r="N341" s="47"/>
      <c r="O341" s="46"/>
    </row>
    <row r="342" spans="3:15" s="55" customFormat="1" ht="15">
      <c r="C342" s="54"/>
      <c r="D342" s="54"/>
      <c r="E342" s="53"/>
      <c r="F342" s="53"/>
      <c r="G342" s="52">
        <f>ROUND($C$16*Table5[[#This Row],[Hours]],2)</f>
        <v>0</v>
      </c>
      <c r="H342" s="47"/>
      <c r="I342" s="51"/>
      <c r="J342" s="50"/>
      <c r="K342" s="49"/>
      <c r="L342" s="48" t="str">
        <f>IF(AND(LEN(K342)&gt;0,D342="APPROVED"),VLOOKUP(Table5[[#This Row],[COMPLETION %]],COMPL_STATUS,2,1),"")</f>
        <v/>
      </c>
      <c r="M342" s="47"/>
      <c r="N342" s="47"/>
      <c r="O342" s="46"/>
    </row>
    <row r="343" spans="3:15" s="55" customFormat="1" ht="15">
      <c r="C343" s="54"/>
      <c r="D343" s="54"/>
      <c r="E343" s="53"/>
      <c r="F343" s="53"/>
      <c r="G343" s="52">
        <f>ROUND($C$16*Table5[[#This Row],[Hours]],2)</f>
        <v>0</v>
      </c>
      <c r="H343" s="47"/>
      <c r="I343" s="51"/>
      <c r="J343" s="50"/>
      <c r="K343" s="49"/>
      <c r="L343" s="48" t="str">
        <f>IF(AND(LEN(K343)&gt;0,D343="APPROVED"),VLOOKUP(Table5[[#This Row],[COMPLETION %]],COMPL_STATUS,2,1),"")</f>
        <v/>
      </c>
      <c r="M343" s="47"/>
      <c r="N343" s="47"/>
      <c r="O343" s="46"/>
    </row>
    <row r="344" spans="3:15" s="55" customFormat="1" ht="15">
      <c r="C344" s="54"/>
      <c r="D344" s="54"/>
      <c r="E344" s="53"/>
      <c r="F344" s="53"/>
      <c r="G344" s="52">
        <f>ROUND($C$16*Table5[[#This Row],[Hours]],2)</f>
        <v>0</v>
      </c>
      <c r="H344" s="47"/>
      <c r="I344" s="51"/>
      <c r="J344" s="50"/>
      <c r="K344" s="49"/>
      <c r="L344" s="48" t="str">
        <f>IF(AND(LEN(K344)&gt;0,D344="APPROVED"),VLOOKUP(Table5[[#This Row],[COMPLETION %]],COMPL_STATUS,2,1),"")</f>
        <v/>
      </c>
      <c r="M344" s="47"/>
      <c r="N344" s="47"/>
      <c r="O344" s="46"/>
    </row>
    <row r="345" spans="3:15" s="55" customFormat="1" ht="15">
      <c r="C345" s="54"/>
      <c r="D345" s="54"/>
      <c r="E345" s="53"/>
      <c r="F345" s="53"/>
      <c r="G345" s="52">
        <f>ROUND($C$16*Table5[[#This Row],[Hours]],2)</f>
        <v>0</v>
      </c>
      <c r="H345" s="47"/>
      <c r="I345" s="51"/>
      <c r="J345" s="50"/>
      <c r="K345" s="49"/>
      <c r="L345" s="48" t="str">
        <f>IF(AND(LEN(K345)&gt;0,D345="APPROVED"),VLOOKUP(Table5[[#This Row],[COMPLETION %]],COMPL_STATUS,2,1),"")</f>
        <v/>
      </c>
      <c r="M345" s="47"/>
      <c r="N345" s="47"/>
      <c r="O345" s="46"/>
    </row>
    <row r="346" spans="3:15" s="55" customFormat="1" ht="15">
      <c r="C346" s="54"/>
      <c r="D346" s="54"/>
      <c r="E346" s="53"/>
      <c r="F346" s="53"/>
      <c r="G346" s="52">
        <f>ROUND($C$16*Table5[[#This Row],[Hours]],2)</f>
        <v>0</v>
      </c>
      <c r="H346" s="47"/>
      <c r="I346" s="51"/>
      <c r="J346" s="50"/>
      <c r="K346" s="49"/>
      <c r="L346" s="48" t="str">
        <f>IF(AND(LEN(K346)&gt;0,D346="APPROVED"),VLOOKUP(Table5[[#This Row],[COMPLETION %]],COMPL_STATUS,2,1),"")</f>
        <v/>
      </c>
      <c r="M346" s="47"/>
      <c r="N346" s="47"/>
      <c r="O346" s="46"/>
    </row>
    <row r="347" spans="3:15" s="55" customFormat="1" ht="15">
      <c r="C347" s="54"/>
      <c r="D347" s="54"/>
      <c r="E347" s="53"/>
      <c r="F347" s="53"/>
      <c r="G347" s="52">
        <f>ROUND($C$16*Table5[[#This Row],[Hours]],2)</f>
        <v>0</v>
      </c>
      <c r="H347" s="47"/>
      <c r="I347" s="51"/>
      <c r="J347" s="50"/>
      <c r="K347" s="49"/>
      <c r="L347" s="48" t="str">
        <f>IF(AND(LEN(K347)&gt;0,D347="APPROVED"),VLOOKUP(Table5[[#This Row],[COMPLETION %]],COMPL_STATUS,2,1),"")</f>
        <v/>
      </c>
      <c r="M347" s="47"/>
      <c r="N347" s="47"/>
      <c r="O347" s="46"/>
    </row>
    <row r="348" spans="3:15" s="55" customFormat="1" ht="15">
      <c r="C348" s="54"/>
      <c r="D348" s="54"/>
      <c r="E348" s="53"/>
      <c r="F348" s="53"/>
      <c r="G348" s="52">
        <f>ROUND($C$16*Table5[[#This Row],[Hours]],2)</f>
        <v>0</v>
      </c>
      <c r="H348" s="47"/>
      <c r="I348" s="51"/>
      <c r="J348" s="50"/>
      <c r="K348" s="49"/>
      <c r="L348" s="48" t="str">
        <f>IF(AND(LEN(K348)&gt;0,D348="APPROVED"),VLOOKUP(Table5[[#This Row],[COMPLETION %]],COMPL_STATUS,2,1),"")</f>
        <v/>
      </c>
      <c r="M348" s="47"/>
      <c r="N348" s="47"/>
      <c r="O348" s="46"/>
    </row>
    <row r="349" spans="3:15" s="55" customFormat="1" ht="15">
      <c r="C349" s="54"/>
      <c r="D349" s="54"/>
      <c r="E349" s="53"/>
      <c r="F349" s="53"/>
      <c r="G349" s="52">
        <f>ROUND($C$16*Table5[[#This Row],[Hours]],2)</f>
        <v>0</v>
      </c>
      <c r="H349" s="47"/>
      <c r="I349" s="51"/>
      <c r="J349" s="50"/>
      <c r="K349" s="49"/>
      <c r="L349" s="48" t="str">
        <f>IF(AND(LEN(K349)&gt;0,D349="APPROVED"),VLOOKUP(Table5[[#This Row],[COMPLETION %]],COMPL_STATUS,2,1),"")</f>
        <v/>
      </c>
      <c r="M349" s="47"/>
      <c r="N349" s="47"/>
      <c r="O349" s="46"/>
    </row>
    <row r="350" spans="3:15" s="55" customFormat="1" ht="15">
      <c r="C350" s="54"/>
      <c r="D350" s="54"/>
      <c r="E350" s="53"/>
      <c r="F350" s="53"/>
      <c r="G350" s="52">
        <f>ROUND($C$16*Table5[[#This Row],[Hours]],2)</f>
        <v>0</v>
      </c>
      <c r="H350" s="47"/>
      <c r="I350" s="51"/>
      <c r="J350" s="50"/>
      <c r="K350" s="49"/>
      <c r="L350" s="48" t="str">
        <f>IF(AND(LEN(K350)&gt;0,D350="APPROVED"),VLOOKUP(Table5[[#This Row],[COMPLETION %]],COMPL_STATUS,2,1),"")</f>
        <v/>
      </c>
      <c r="M350" s="47"/>
      <c r="N350" s="47"/>
      <c r="O350" s="46"/>
    </row>
    <row r="351" spans="3:15" s="55" customFormat="1" ht="15">
      <c r="C351" s="54"/>
      <c r="D351" s="54"/>
      <c r="E351" s="53"/>
      <c r="F351" s="53"/>
      <c r="G351" s="52">
        <f>ROUND($C$16*Table5[[#This Row],[Hours]],2)</f>
        <v>0</v>
      </c>
      <c r="H351" s="47"/>
      <c r="I351" s="51"/>
      <c r="J351" s="50"/>
      <c r="K351" s="49"/>
      <c r="L351" s="48" t="str">
        <f>IF(AND(LEN(K351)&gt;0,D351="APPROVED"),VLOOKUP(Table5[[#This Row],[COMPLETION %]],COMPL_STATUS,2,1),"")</f>
        <v/>
      </c>
      <c r="M351" s="47"/>
      <c r="N351" s="47"/>
      <c r="O351" s="46"/>
    </row>
    <row r="352" spans="3:15" s="55" customFormat="1" ht="15">
      <c r="C352" s="54"/>
      <c r="D352" s="54"/>
      <c r="E352" s="53"/>
      <c r="F352" s="53"/>
      <c r="G352" s="52">
        <f>ROUND($C$16*Table5[[#This Row],[Hours]],2)</f>
        <v>0</v>
      </c>
      <c r="H352" s="47"/>
      <c r="I352" s="51"/>
      <c r="J352" s="50"/>
      <c r="K352" s="49"/>
      <c r="L352" s="48" t="str">
        <f>IF(AND(LEN(K352)&gt;0,D352="APPROVED"),VLOOKUP(Table5[[#This Row],[COMPLETION %]],COMPL_STATUS,2,1),"")</f>
        <v/>
      </c>
      <c r="M352" s="47"/>
      <c r="N352" s="47"/>
      <c r="O352" s="46"/>
    </row>
    <row r="353" spans="3:15" s="55" customFormat="1" ht="15">
      <c r="C353" s="54"/>
      <c r="D353" s="54"/>
      <c r="E353" s="53"/>
      <c r="F353" s="53"/>
      <c r="G353" s="52">
        <f>ROUND($C$16*Table5[[#This Row],[Hours]],2)</f>
        <v>0</v>
      </c>
      <c r="H353" s="47"/>
      <c r="I353" s="51"/>
      <c r="J353" s="50"/>
      <c r="K353" s="49"/>
      <c r="L353" s="48" t="str">
        <f>IF(AND(LEN(K353)&gt;0,D353="APPROVED"),VLOOKUP(Table5[[#This Row],[COMPLETION %]],COMPL_STATUS,2,1),"")</f>
        <v/>
      </c>
      <c r="M353" s="47"/>
      <c r="N353" s="47"/>
      <c r="O353" s="46"/>
    </row>
    <row r="354" spans="3:15" s="55" customFormat="1" ht="15">
      <c r="C354" s="54"/>
      <c r="D354" s="54"/>
      <c r="E354" s="53"/>
      <c r="F354" s="53"/>
      <c r="G354" s="52">
        <f>ROUND($C$16*Table5[[#This Row],[Hours]],2)</f>
        <v>0</v>
      </c>
      <c r="H354" s="47"/>
      <c r="I354" s="51"/>
      <c r="J354" s="50"/>
      <c r="K354" s="49"/>
      <c r="L354" s="48" t="str">
        <f>IF(AND(LEN(K354)&gt;0,D354="APPROVED"),VLOOKUP(Table5[[#This Row],[COMPLETION %]],COMPL_STATUS,2,1),"")</f>
        <v/>
      </c>
      <c r="M354" s="47"/>
      <c r="N354" s="47"/>
      <c r="O354" s="46"/>
    </row>
    <row r="355" spans="3:15" s="55" customFormat="1" ht="15">
      <c r="C355" s="54"/>
      <c r="D355" s="54"/>
      <c r="E355" s="53"/>
      <c r="F355" s="53"/>
      <c r="G355" s="52">
        <f>ROUND($C$16*Table5[[#This Row],[Hours]],2)</f>
        <v>0</v>
      </c>
      <c r="H355" s="47"/>
      <c r="I355" s="51"/>
      <c r="J355" s="50"/>
      <c r="K355" s="49"/>
      <c r="L355" s="48" t="str">
        <f>IF(AND(LEN(K355)&gt;0,D355="APPROVED"),VLOOKUP(Table5[[#This Row],[COMPLETION %]],COMPL_STATUS,2,1),"")</f>
        <v/>
      </c>
      <c r="M355" s="47"/>
      <c r="N355" s="47"/>
      <c r="O355" s="46"/>
    </row>
    <row r="356" spans="3:15" s="55" customFormat="1" ht="15">
      <c r="C356" s="54"/>
      <c r="D356" s="54"/>
      <c r="E356" s="53"/>
      <c r="F356" s="53"/>
      <c r="G356" s="52">
        <f>ROUND($C$16*Table5[[#This Row],[Hours]],2)</f>
        <v>0</v>
      </c>
      <c r="H356" s="47"/>
      <c r="I356" s="51"/>
      <c r="J356" s="50"/>
      <c r="K356" s="49"/>
      <c r="L356" s="48" t="str">
        <f>IF(AND(LEN(K356)&gt;0,D356="APPROVED"),VLOOKUP(Table5[[#This Row],[COMPLETION %]],COMPL_STATUS,2,1),"")</f>
        <v/>
      </c>
      <c r="M356" s="47"/>
      <c r="N356" s="47"/>
      <c r="O356" s="46"/>
    </row>
    <row r="357" spans="3:15" s="55" customFormat="1" ht="15">
      <c r="C357" s="54"/>
      <c r="D357" s="54"/>
      <c r="E357" s="53"/>
      <c r="F357" s="53"/>
      <c r="G357" s="52">
        <f>ROUND($C$16*Table5[[#This Row],[Hours]],2)</f>
        <v>0</v>
      </c>
      <c r="H357" s="47"/>
      <c r="I357" s="51"/>
      <c r="J357" s="50"/>
      <c r="K357" s="49"/>
      <c r="L357" s="48" t="str">
        <f>IF(AND(LEN(K357)&gt;0,D357="APPROVED"),VLOOKUP(Table5[[#This Row],[COMPLETION %]],COMPL_STATUS,2,1),"")</f>
        <v/>
      </c>
      <c r="M357" s="47"/>
      <c r="N357" s="47"/>
      <c r="O357" s="46"/>
    </row>
    <row r="358" spans="3:15" s="55" customFormat="1" ht="15">
      <c r="C358" s="54"/>
      <c r="D358" s="54"/>
      <c r="E358" s="53"/>
      <c r="F358" s="53"/>
      <c r="G358" s="52">
        <f>ROUND($C$16*Table5[[#This Row],[Hours]],2)</f>
        <v>0</v>
      </c>
      <c r="H358" s="47"/>
      <c r="I358" s="51"/>
      <c r="J358" s="50"/>
      <c r="K358" s="49"/>
      <c r="L358" s="48" t="str">
        <f>IF(AND(LEN(K358)&gt;0,D358="APPROVED"),VLOOKUP(Table5[[#This Row],[COMPLETION %]],COMPL_STATUS,2,1),"")</f>
        <v/>
      </c>
      <c r="M358" s="47"/>
      <c r="N358" s="47"/>
      <c r="O358" s="46"/>
    </row>
    <row r="359" spans="3:15" s="55" customFormat="1" ht="15">
      <c r="C359" s="54"/>
      <c r="D359" s="54"/>
      <c r="E359" s="53"/>
      <c r="F359" s="53"/>
      <c r="G359" s="52">
        <f>ROUND($C$16*Table5[[#This Row],[Hours]],2)</f>
        <v>0</v>
      </c>
      <c r="H359" s="47"/>
      <c r="I359" s="51"/>
      <c r="J359" s="50"/>
      <c r="K359" s="49"/>
      <c r="L359" s="48" t="str">
        <f>IF(AND(LEN(K359)&gt;0,D359="APPROVED"),VLOOKUP(Table5[[#This Row],[COMPLETION %]],COMPL_STATUS,2,1),"")</f>
        <v/>
      </c>
      <c r="M359" s="47"/>
      <c r="N359" s="47"/>
      <c r="O359" s="46"/>
    </row>
    <row r="360" spans="3:15" s="55" customFormat="1" ht="15">
      <c r="C360" s="54"/>
      <c r="D360" s="54"/>
      <c r="E360" s="53"/>
      <c r="F360" s="53"/>
      <c r="G360" s="52">
        <f>ROUND($C$16*Table5[[#This Row],[Hours]],2)</f>
        <v>0</v>
      </c>
      <c r="H360" s="47"/>
      <c r="I360" s="51"/>
      <c r="J360" s="50"/>
      <c r="K360" s="49"/>
      <c r="L360" s="48" t="str">
        <f>IF(AND(LEN(K360)&gt;0,D360="APPROVED"),VLOOKUP(Table5[[#This Row],[COMPLETION %]],COMPL_STATUS,2,1),"")</f>
        <v/>
      </c>
      <c r="M360" s="47"/>
      <c r="N360" s="47"/>
      <c r="O360" s="46"/>
    </row>
    <row r="361" spans="3:15" s="55" customFormat="1" ht="15">
      <c r="C361" s="54"/>
      <c r="D361" s="54"/>
      <c r="E361" s="53"/>
      <c r="F361" s="53"/>
      <c r="G361" s="52">
        <f>ROUND($C$16*Table5[[#This Row],[Hours]],2)</f>
        <v>0</v>
      </c>
      <c r="H361" s="47"/>
      <c r="I361" s="51"/>
      <c r="J361" s="50"/>
      <c r="K361" s="49"/>
      <c r="L361" s="48" t="str">
        <f>IF(AND(LEN(K361)&gt;0,D361="APPROVED"),VLOOKUP(Table5[[#This Row],[COMPLETION %]],COMPL_STATUS,2,1),"")</f>
        <v/>
      </c>
      <c r="M361" s="47"/>
      <c r="N361" s="47"/>
      <c r="O361" s="46"/>
    </row>
    <row r="362" spans="3:15" s="55" customFormat="1" ht="15">
      <c r="C362" s="54"/>
      <c r="D362" s="54"/>
      <c r="E362" s="53"/>
      <c r="F362" s="53"/>
      <c r="G362" s="52">
        <f>ROUND($C$16*Table5[[#This Row],[Hours]],2)</f>
        <v>0</v>
      </c>
      <c r="H362" s="47"/>
      <c r="I362" s="51"/>
      <c r="J362" s="50"/>
      <c r="K362" s="49"/>
      <c r="L362" s="48" t="str">
        <f>IF(AND(LEN(K362)&gt;0,D362="APPROVED"),VLOOKUP(Table5[[#This Row],[COMPLETION %]],COMPL_STATUS,2,1),"")</f>
        <v/>
      </c>
      <c r="M362" s="47"/>
      <c r="N362" s="47"/>
      <c r="O362" s="46"/>
    </row>
    <row r="363" spans="3:15" s="55" customFormat="1" ht="15">
      <c r="C363" s="54"/>
      <c r="D363" s="54"/>
      <c r="E363" s="53"/>
      <c r="F363" s="53"/>
      <c r="G363" s="52">
        <f>ROUND($C$16*Table5[[#This Row],[Hours]],2)</f>
        <v>0</v>
      </c>
      <c r="H363" s="47"/>
      <c r="I363" s="51"/>
      <c r="J363" s="50"/>
      <c r="K363" s="49"/>
      <c r="L363" s="48" t="str">
        <f>IF(AND(LEN(K363)&gt;0,D363="APPROVED"),VLOOKUP(Table5[[#This Row],[COMPLETION %]],COMPL_STATUS,2,1),"")</f>
        <v/>
      </c>
      <c r="M363" s="47"/>
      <c r="N363" s="47"/>
      <c r="O363" s="46"/>
    </row>
    <row r="364" spans="3:15" s="55" customFormat="1" ht="15">
      <c r="C364" s="54"/>
      <c r="D364" s="54"/>
      <c r="E364" s="53"/>
      <c r="F364" s="53"/>
      <c r="G364" s="52">
        <f>ROUND($C$16*Table5[[#This Row],[Hours]],2)</f>
        <v>0</v>
      </c>
      <c r="H364" s="47"/>
      <c r="I364" s="51"/>
      <c r="J364" s="50"/>
      <c r="K364" s="49"/>
      <c r="L364" s="48" t="str">
        <f>IF(AND(LEN(K364)&gt;0,D364="APPROVED"),VLOOKUP(Table5[[#This Row],[COMPLETION %]],COMPL_STATUS,2,1),"")</f>
        <v/>
      </c>
      <c r="M364" s="47"/>
      <c r="N364" s="47"/>
      <c r="O364" s="46"/>
    </row>
    <row r="365" spans="3:15" s="55" customFormat="1" ht="15">
      <c r="C365" s="54"/>
      <c r="D365" s="54"/>
      <c r="E365" s="53"/>
      <c r="F365" s="53"/>
      <c r="G365" s="52">
        <f>ROUND($C$16*Table5[[#This Row],[Hours]],2)</f>
        <v>0</v>
      </c>
      <c r="H365" s="47"/>
      <c r="I365" s="51"/>
      <c r="J365" s="50"/>
      <c r="K365" s="49"/>
      <c r="L365" s="48" t="str">
        <f>IF(AND(LEN(K365)&gt;0,D365="APPROVED"),VLOOKUP(Table5[[#This Row],[COMPLETION %]],COMPL_STATUS,2,1),"")</f>
        <v/>
      </c>
      <c r="M365" s="47"/>
      <c r="N365" s="47"/>
      <c r="O365" s="46"/>
    </row>
    <row r="366" spans="3:15" s="55" customFormat="1" ht="15">
      <c r="C366" s="54"/>
      <c r="D366" s="54"/>
      <c r="E366" s="53"/>
      <c r="F366" s="53"/>
      <c r="G366" s="52">
        <f>ROUND($C$16*Table5[[#This Row],[Hours]],2)</f>
        <v>0</v>
      </c>
      <c r="H366" s="47"/>
      <c r="I366" s="51"/>
      <c r="J366" s="50"/>
      <c r="K366" s="49"/>
      <c r="L366" s="48" t="str">
        <f>IF(AND(LEN(K366)&gt;0,D366="APPROVED"),VLOOKUP(Table5[[#This Row],[COMPLETION %]],COMPL_STATUS,2,1),"")</f>
        <v/>
      </c>
      <c r="M366" s="47"/>
      <c r="N366" s="47"/>
      <c r="O366" s="46"/>
    </row>
    <row r="367" spans="3:15" s="55" customFormat="1" ht="15">
      <c r="C367" s="54"/>
      <c r="D367" s="54"/>
      <c r="E367" s="53"/>
      <c r="F367" s="53"/>
      <c r="G367" s="52">
        <f>ROUND($C$16*Table5[[#This Row],[Hours]],2)</f>
        <v>0</v>
      </c>
      <c r="H367" s="47"/>
      <c r="I367" s="51"/>
      <c r="J367" s="50"/>
      <c r="K367" s="49"/>
      <c r="L367" s="48" t="str">
        <f>IF(AND(LEN(K367)&gt;0,D367="APPROVED"),VLOOKUP(Table5[[#This Row],[COMPLETION %]],COMPL_STATUS,2,1),"")</f>
        <v/>
      </c>
      <c r="M367" s="47"/>
      <c r="N367" s="47"/>
      <c r="O367" s="46"/>
    </row>
    <row r="368" spans="3:15" s="55" customFormat="1" ht="15">
      <c r="C368" s="54"/>
      <c r="D368" s="54"/>
      <c r="E368" s="53"/>
      <c r="F368" s="53"/>
      <c r="G368" s="52">
        <f>ROUND($C$16*Table5[[#This Row],[Hours]],2)</f>
        <v>0</v>
      </c>
      <c r="H368" s="47"/>
      <c r="I368" s="51"/>
      <c r="J368" s="50"/>
      <c r="K368" s="49"/>
      <c r="L368" s="48" t="str">
        <f>IF(AND(LEN(K368)&gt;0,D368="APPROVED"),VLOOKUP(Table5[[#This Row],[COMPLETION %]],COMPL_STATUS,2,1),"")</f>
        <v/>
      </c>
      <c r="M368" s="47"/>
      <c r="N368" s="47"/>
      <c r="O368" s="46"/>
    </row>
    <row r="369" spans="3:15" s="55" customFormat="1" ht="15">
      <c r="C369" s="54"/>
      <c r="D369" s="54"/>
      <c r="E369" s="53"/>
      <c r="F369" s="53"/>
      <c r="G369" s="52">
        <f>ROUND($C$16*Table5[[#This Row],[Hours]],2)</f>
        <v>0</v>
      </c>
      <c r="H369" s="47"/>
      <c r="I369" s="51"/>
      <c r="J369" s="50"/>
      <c r="K369" s="49"/>
      <c r="L369" s="48" t="str">
        <f>IF(AND(LEN(K369)&gt;0,D369="APPROVED"),VLOOKUP(Table5[[#This Row],[COMPLETION %]],COMPL_STATUS,2,1),"")</f>
        <v/>
      </c>
      <c r="M369" s="47"/>
      <c r="N369" s="47"/>
      <c r="O369" s="46"/>
    </row>
    <row r="370" spans="3:15" s="55" customFormat="1" ht="15">
      <c r="C370" s="54"/>
      <c r="D370" s="54"/>
      <c r="E370" s="53"/>
      <c r="F370" s="53"/>
      <c r="G370" s="52">
        <f>ROUND($C$16*Table5[[#This Row],[Hours]],2)</f>
        <v>0</v>
      </c>
      <c r="H370" s="47"/>
      <c r="I370" s="51"/>
      <c r="J370" s="50"/>
      <c r="K370" s="49"/>
      <c r="L370" s="48" t="str">
        <f>IF(AND(LEN(K370)&gt;0,D370="APPROVED"),VLOOKUP(Table5[[#This Row],[COMPLETION %]],COMPL_STATUS,2,1),"")</f>
        <v/>
      </c>
      <c r="M370" s="47"/>
      <c r="N370" s="47"/>
      <c r="O370" s="46"/>
    </row>
    <row r="371" spans="3:15" s="55" customFormat="1" ht="15">
      <c r="C371" s="54"/>
      <c r="D371" s="54"/>
      <c r="E371" s="53"/>
      <c r="F371" s="53"/>
      <c r="G371" s="52">
        <f>ROUND($C$16*Table5[[#This Row],[Hours]],2)</f>
        <v>0</v>
      </c>
      <c r="H371" s="47"/>
      <c r="I371" s="51"/>
      <c r="J371" s="50"/>
      <c r="K371" s="49"/>
      <c r="L371" s="48" t="str">
        <f>IF(AND(LEN(K371)&gt;0,D371="APPROVED"),VLOOKUP(Table5[[#This Row],[COMPLETION %]],COMPL_STATUS,2,1),"")</f>
        <v/>
      </c>
      <c r="M371" s="47"/>
      <c r="N371" s="47"/>
      <c r="O371" s="46"/>
    </row>
    <row r="372" spans="3:15" s="55" customFormat="1" ht="15">
      <c r="C372" s="54"/>
      <c r="D372" s="54"/>
      <c r="E372" s="53"/>
      <c r="F372" s="53"/>
      <c r="G372" s="52">
        <f>ROUND($C$16*Table5[[#This Row],[Hours]],2)</f>
        <v>0</v>
      </c>
      <c r="H372" s="47"/>
      <c r="I372" s="51"/>
      <c r="J372" s="50"/>
      <c r="K372" s="49"/>
      <c r="L372" s="48" t="str">
        <f>IF(AND(LEN(K372)&gt;0,D372="APPROVED"),VLOOKUP(Table5[[#This Row],[COMPLETION %]],COMPL_STATUS,2,1),"")</f>
        <v/>
      </c>
      <c r="M372" s="47"/>
      <c r="N372" s="47"/>
      <c r="O372" s="46"/>
    </row>
    <row r="373" spans="3:15" s="55" customFormat="1" ht="15">
      <c r="C373" s="54"/>
      <c r="D373" s="54"/>
      <c r="E373" s="53"/>
      <c r="F373" s="53"/>
      <c r="G373" s="52">
        <f>ROUND($C$16*Table5[[#This Row],[Hours]],2)</f>
        <v>0</v>
      </c>
      <c r="H373" s="47"/>
      <c r="I373" s="51"/>
      <c r="J373" s="50"/>
      <c r="K373" s="49"/>
      <c r="L373" s="48" t="str">
        <f>IF(AND(LEN(K373)&gt;0,D373="APPROVED"),VLOOKUP(Table5[[#This Row],[COMPLETION %]],COMPL_STATUS,2,1),"")</f>
        <v/>
      </c>
      <c r="M373" s="47"/>
      <c r="N373" s="47"/>
      <c r="O373" s="46"/>
    </row>
    <row r="374" spans="3:15" s="55" customFormat="1" ht="15">
      <c r="C374" s="54"/>
      <c r="D374" s="54"/>
      <c r="E374" s="53"/>
      <c r="F374" s="53"/>
      <c r="G374" s="52">
        <f>ROUND($C$16*Table5[[#This Row],[Hours]],2)</f>
        <v>0</v>
      </c>
      <c r="H374" s="47"/>
      <c r="I374" s="51"/>
      <c r="J374" s="50"/>
      <c r="K374" s="49"/>
      <c r="L374" s="48" t="str">
        <f>IF(AND(LEN(K374)&gt;0,D374="APPROVED"),VLOOKUP(Table5[[#This Row],[COMPLETION %]],COMPL_STATUS,2,1),"")</f>
        <v/>
      </c>
      <c r="M374" s="47"/>
      <c r="N374" s="47"/>
      <c r="O374" s="46"/>
    </row>
    <row r="375" spans="3:15" s="55" customFormat="1" ht="15">
      <c r="C375" s="54"/>
      <c r="D375" s="54"/>
      <c r="E375" s="53"/>
      <c r="F375" s="53"/>
      <c r="G375" s="52">
        <f>ROUND($C$16*Table5[[#This Row],[Hours]],2)</f>
        <v>0</v>
      </c>
      <c r="H375" s="47"/>
      <c r="I375" s="51"/>
      <c r="J375" s="50"/>
      <c r="K375" s="49"/>
      <c r="L375" s="48" t="str">
        <f>IF(AND(LEN(K375)&gt;0,D375="APPROVED"),VLOOKUP(Table5[[#This Row],[COMPLETION %]],COMPL_STATUS,2,1),"")</f>
        <v/>
      </c>
      <c r="M375" s="47"/>
      <c r="N375" s="47"/>
      <c r="O375" s="46"/>
    </row>
    <row r="376" spans="3:15" s="55" customFormat="1" ht="15">
      <c r="C376" s="54"/>
      <c r="D376" s="54"/>
      <c r="E376" s="53"/>
      <c r="F376" s="53"/>
      <c r="G376" s="52">
        <f>ROUND($C$16*Table5[[#This Row],[Hours]],2)</f>
        <v>0</v>
      </c>
      <c r="H376" s="47"/>
      <c r="I376" s="51"/>
      <c r="J376" s="50"/>
      <c r="K376" s="49"/>
      <c r="L376" s="48" t="str">
        <f>IF(AND(LEN(K376)&gt;0,D376="APPROVED"),VLOOKUP(Table5[[#This Row],[COMPLETION %]],COMPL_STATUS,2,1),"")</f>
        <v/>
      </c>
      <c r="M376" s="47"/>
      <c r="N376" s="47"/>
      <c r="O376" s="46"/>
    </row>
    <row r="377" spans="3:15" s="55" customFormat="1" ht="15">
      <c r="C377" s="54"/>
      <c r="D377" s="54"/>
      <c r="E377" s="53"/>
      <c r="F377" s="53"/>
      <c r="G377" s="52">
        <f>ROUND($C$16*Table5[[#This Row],[Hours]],2)</f>
        <v>0</v>
      </c>
      <c r="H377" s="47"/>
      <c r="I377" s="51"/>
      <c r="J377" s="50"/>
      <c r="K377" s="49"/>
      <c r="L377" s="48" t="str">
        <f>IF(AND(LEN(K377)&gt;0,D377="APPROVED"),VLOOKUP(Table5[[#This Row],[COMPLETION %]],COMPL_STATUS,2,1),"")</f>
        <v/>
      </c>
      <c r="M377" s="47"/>
      <c r="N377" s="47"/>
      <c r="O377" s="46"/>
    </row>
    <row r="378" spans="3:15" s="55" customFormat="1" ht="15">
      <c r="C378" s="54"/>
      <c r="D378" s="54"/>
      <c r="E378" s="53"/>
      <c r="F378" s="53"/>
      <c r="G378" s="52">
        <f>ROUND($C$16*Table5[[#This Row],[Hours]],2)</f>
        <v>0</v>
      </c>
      <c r="H378" s="47"/>
      <c r="I378" s="51"/>
      <c r="J378" s="50"/>
      <c r="K378" s="49"/>
      <c r="L378" s="48" t="str">
        <f>IF(AND(LEN(K378)&gt;0,D378="APPROVED"),VLOOKUP(Table5[[#This Row],[COMPLETION %]],COMPL_STATUS,2,1),"")</f>
        <v/>
      </c>
      <c r="M378" s="47"/>
      <c r="N378" s="47"/>
      <c r="O378" s="46"/>
    </row>
    <row r="379" spans="3:15" s="55" customFormat="1" ht="15">
      <c r="C379" s="54"/>
      <c r="D379" s="54"/>
      <c r="E379" s="53"/>
      <c r="F379" s="53"/>
      <c r="G379" s="52">
        <f>ROUND($C$16*Table5[[#This Row],[Hours]],2)</f>
        <v>0</v>
      </c>
      <c r="H379" s="47"/>
      <c r="I379" s="51"/>
      <c r="J379" s="50"/>
      <c r="K379" s="49"/>
      <c r="L379" s="48" t="str">
        <f>IF(AND(LEN(K379)&gt;0,D379="APPROVED"),VLOOKUP(Table5[[#This Row],[COMPLETION %]],COMPL_STATUS,2,1),"")</f>
        <v/>
      </c>
      <c r="M379" s="47"/>
      <c r="N379" s="47"/>
      <c r="O379" s="46"/>
    </row>
    <row r="380" spans="3:15" s="55" customFormat="1" ht="15">
      <c r="C380" s="54"/>
      <c r="D380" s="54"/>
      <c r="E380" s="53"/>
      <c r="F380" s="53"/>
      <c r="G380" s="52">
        <f>ROUND($C$16*Table5[[#This Row],[Hours]],2)</f>
        <v>0</v>
      </c>
      <c r="H380" s="47"/>
      <c r="I380" s="51"/>
      <c r="J380" s="50"/>
      <c r="K380" s="49"/>
      <c r="L380" s="48" t="str">
        <f>IF(AND(LEN(K380)&gt;0,D380="APPROVED"),VLOOKUP(Table5[[#This Row],[COMPLETION %]],COMPL_STATUS,2,1),"")</f>
        <v/>
      </c>
      <c r="M380" s="47"/>
      <c r="N380" s="47"/>
      <c r="O380" s="46"/>
    </row>
    <row r="381" spans="3:15" s="55" customFormat="1" ht="15">
      <c r="C381" s="54"/>
      <c r="D381" s="54"/>
      <c r="E381" s="53"/>
      <c r="F381" s="53"/>
      <c r="G381" s="52">
        <f>ROUND($C$16*Table5[[#This Row],[Hours]],2)</f>
        <v>0</v>
      </c>
      <c r="H381" s="47"/>
      <c r="I381" s="51"/>
      <c r="J381" s="50"/>
      <c r="K381" s="49"/>
      <c r="L381" s="48" t="str">
        <f>IF(AND(LEN(K381)&gt;0,D381="APPROVED"),VLOOKUP(Table5[[#This Row],[COMPLETION %]],COMPL_STATUS,2,1),"")</f>
        <v/>
      </c>
      <c r="M381" s="47"/>
      <c r="N381" s="47"/>
      <c r="O381" s="46"/>
    </row>
    <row r="382" spans="3:15" s="55" customFormat="1" ht="15">
      <c r="C382" s="54"/>
      <c r="D382" s="54"/>
      <c r="E382" s="53"/>
      <c r="F382" s="53"/>
      <c r="G382" s="52">
        <f>ROUND($C$16*Table5[[#This Row],[Hours]],2)</f>
        <v>0</v>
      </c>
      <c r="H382" s="47"/>
      <c r="I382" s="51"/>
      <c r="J382" s="50"/>
      <c r="K382" s="49"/>
      <c r="L382" s="48" t="str">
        <f>IF(AND(LEN(K382)&gt;0,D382="APPROVED"),VLOOKUP(Table5[[#This Row],[COMPLETION %]],COMPL_STATUS,2,1),"")</f>
        <v/>
      </c>
      <c r="M382" s="47"/>
      <c r="N382" s="47"/>
      <c r="O382" s="46"/>
    </row>
    <row r="383" spans="3:15" s="55" customFormat="1" ht="15">
      <c r="C383" s="54"/>
      <c r="D383" s="54"/>
      <c r="E383" s="53"/>
      <c r="F383" s="53"/>
      <c r="G383" s="52">
        <f>ROUND($C$16*Table5[[#This Row],[Hours]],2)</f>
        <v>0</v>
      </c>
      <c r="H383" s="47"/>
      <c r="I383" s="51"/>
      <c r="J383" s="50"/>
      <c r="K383" s="49"/>
      <c r="L383" s="48" t="str">
        <f>IF(AND(LEN(K383)&gt;0,D383="APPROVED"),VLOOKUP(Table5[[#This Row],[COMPLETION %]],COMPL_STATUS,2,1),"")</f>
        <v/>
      </c>
      <c r="M383" s="47"/>
      <c r="N383" s="47"/>
      <c r="O383" s="46"/>
    </row>
    <row r="384" spans="3:15" s="55" customFormat="1" ht="15">
      <c r="C384" s="54"/>
      <c r="D384" s="54"/>
      <c r="E384" s="53"/>
      <c r="F384" s="53"/>
      <c r="G384" s="52">
        <f>ROUND($C$16*Table5[[#This Row],[Hours]],2)</f>
        <v>0</v>
      </c>
      <c r="H384" s="47"/>
      <c r="I384" s="51"/>
      <c r="J384" s="50"/>
      <c r="K384" s="49"/>
      <c r="L384" s="48" t="str">
        <f>IF(AND(LEN(K384)&gt;0,D384="APPROVED"),VLOOKUP(Table5[[#This Row],[COMPLETION %]],COMPL_STATUS,2,1),"")</f>
        <v/>
      </c>
      <c r="M384" s="47"/>
      <c r="N384" s="47"/>
      <c r="O384" s="46"/>
    </row>
    <row r="385" spans="3:15" s="55" customFormat="1" ht="15">
      <c r="C385" s="54"/>
      <c r="D385" s="54"/>
      <c r="E385" s="53"/>
      <c r="F385" s="53"/>
      <c r="G385" s="52">
        <f>ROUND($C$16*Table5[[#This Row],[Hours]],2)</f>
        <v>0</v>
      </c>
      <c r="H385" s="47"/>
      <c r="I385" s="51"/>
      <c r="J385" s="50"/>
      <c r="K385" s="49"/>
      <c r="L385" s="48" t="str">
        <f>IF(AND(LEN(K385)&gt;0,D385="APPROVED"),VLOOKUP(Table5[[#This Row],[COMPLETION %]],COMPL_STATUS,2,1),"")</f>
        <v/>
      </c>
      <c r="M385" s="47"/>
      <c r="N385" s="47"/>
      <c r="O385" s="46"/>
    </row>
    <row r="386" spans="3:15" s="55" customFormat="1" ht="15">
      <c r="C386" s="54"/>
      <c r="D386" s="54"/>
      <c r="E386" s="53"/>
      <c r="F386" s="53"/>
      <c r="G386" s="52">
        <f>ROUND($C$16*Table5[[#This Row],[Hours]],2)</f>
        <v>0</v>
      </c>
      <c r="H386" s="47"/>
      <c r="I386" s="51"/>
      <c r="J386" s="50"/>
      <c r="K386" s="49"/>
      <c r="L386" s="48" t="str">
        <f>IF(AND(LEN(K386)&gt;0,D386="APPROVED"),VLOOKUP(Table5[[#This Row],[COMPLETION %]],COMPL_STATUS,2,1),"")</f>
        <v/>
      </c>
      <c r="M386" s="47"/>
      <c r="N386" s="47"/>
      <c r="O386" s="46"/>
    </row>
    <row r="387" spans="3:15" s="55" customFormat="1" ht="15">
      <c r="C387" s="54"/>
      <c r="D387" s="54"/>
      <c r="E387" s="53"/>
      <c r="F387" s="53"/>
      <c r="G387" s="52">
        <f>ROUND($C$16*Table5[[#This Row],[Hours]],2)</f>
        <v>0</v>
      </c>
      <c r="H387" s="47"/>
      <c r="I387" s="51"/>
      <c r="J387" s="50"/>
      <c r="K387" s="49"/>
      <c r="L387" s="48" t="str">
        <f>IF(AND(LEN(K387)&gt;0,D387="APPROVED"),VLOOKUP(Table5[[#This Row],[COMPLETION %]],COMPL_STATUS,2,1),"")</f>
        <v/>
      </c>
      <c r="M387" s="47"/>
      <c r="N387" s="47"/>
      <c r="O387" s="46"/>
    </row>
    <row r="388" spans="3:15" s="55" customFormat="1" ht="15">
      <c r="C388" s="54"/>
      <c r="D388" s="54"/>
      <c r="E388" s="53"/>
      <c r="F388" s="53"/>
      <c r="G388" s="52">
        <f>ROUND($C$16*Table5[[#This Row],[Hours]],2)</f>
        <v>0</v>
      </c>
      <c r="H388" s="47"/>
      <c r="I388" s="51"/>
      <c r="J388" s="50"/>
      <c r="K388" s="49"/>
      <c r="L388" s="48" t="str">
        <f>IF(AND(LEN(K388)&gt;0,D388="APPROVED"),VLOOKUP(Table5[[#This Row],[COMPLETION %]],COMPL_STATUS,2,1),"")</f>
        <v/>
      </c>
      <c r="M388" s="47"/>
      <c r="N388" s="47"/>
      <c r="O388" s="46"/>
    </row>
    <row r="389" spans="3:15" s="55" customFormat="1" ht="15">
      <c r="C389" s="54"/>
      <c r="D389" s="54"/>
      <c r="E389" s="53"/>
      <c r="F389" s="53"/>
      <c r="G389" s="52">
        <f>ROUND($C$16*Table5[[#This Row],[Hours]],2)</f>
        <v>0</v>
      </c>
      <c r="H389" s="47"/>
      <c r="I389" s="51"/>
      <c r="J389" s="50"/>
      <c r="K389" s="49"/>
      <c r="L389" s="48" t="str">
        <f>IF(AND(LEN(K389)&gt;0,D389="APPROVED"),VLOOKUP(Table5[[#This Row],[COMPLETION %]],COMPL_STATUS,2,1),"")</f>
        <v/>
      </c>
      <c r="M389" s="47"/>
      <c r="N389" s="47"/>
      <c r="O389" s="46"/>
    </row>
    <row r="390" spans="3:15" s="55" customFormat="1" ht="15">
      <c r="C390" s="54"/>
      <c r="D390" s="54"/>
      <c r="E390" s="53"/>
      <c r="F390" s="53"/>
      <c r="G390" s="52">
        <f>ROUND($C$16*Table5[[#This Row],[Hours]],2)</f>
        <v>0</v>
      </c>
      <c r="H390" s="47"/>
      <c r="I390" s="51"/>
      <c r="J390" s="50"/>
      <c r="K390" s="49"/>
      <c r="L390" s="48" t="str">
        <f>IF(AND(LEN(K390)&gt;0,D390="APPROVED"),VLOOKUP(Table5[[#This Row],[COMPLETION %]],COMPL_STATUS,2,1),"")</f>
        <v/>
      </c>
      <c r="M390" s="47"/>
      <c r="N390" s="47"/>
      <c r="O390" s="46"/>
    </row>
    <row r="391" spans="3:15" s="55" customFormat="1" ht="15">
      <c r="C391" s="54"/>
      <c r="D391" s="54"/>
      <c r="E391" s="53"/>
      <c r="F391" s="53"/>
      <c r="G391" s="52">
        <f>ROUND($C$16*Table5[[#This Row],[Hours]],2)</f>
        <v>0</v>
      </c>
      <c r="H391" s="47"/>
      <c r="I391" s="51"/>
      <c r="J391" s="50"/>
      <c r="K391" s="49"/>
      <c r="L391" s="48" t="str">
        <f>IF(AND(LEN(K391)&gt;0,D391="APPROVED"),VLOOKUP(Table5[[#This Row],[COMPLETION %]],COMPL_STATUS,2,1),"")</f>
        <v/>
      </c>
      <c r="M391" s="47"/>
      <c r="N391" s="47"/>
      <c r="O391" s="46"/>
    </row>
    <row r="392" spans="3:15" s="55" customFormat="1" ht="15">
      <c r="C392" s="54"/>
      <c r="D392" s="54"/>
      <c r="E392" s="53"/>
      <c r="F392" s="53"/>
      <c r="G392" s="52">
        <f>ROUND($C$16*Table5[[#This Row],[Hours]],2)</f>
        <v>0</v>
      </c>
      <c r="H392" s="47"/>
      <c r="I392" s="51"/>
      <c r="J392" s="50"/>
      <c r="K392" s="49"/>
      <c r="L392" s="48" t="str">
        <f>IF(AND(LEN(K392)&gt;0,D392="APPROVED"),VLOOKUP(Table5[[#This Row],[COMPLETION %]],COMPL_STATUS,2,1),"")</f>
        <v/>
      </c>
      <c r="M392" s="47"/>
      <c r="N392" s="47"/>
      <c r="O392" s="46"/>
    </row>
    <row r="393" spans="3:15" s="55" customFormat="1" ht="15">
      <c r="C393" s="54"/>
      <c r="D393" s="54"/>
      <c r="E393" s="53"/>
      <c r="F393" s="53"/>
      <c r="G393" s="52">
        <f>ROUND($C$16*Table5[[#This Row],[Hours]],2)</f>
        <v>0</v>
      </c>
      <c r="H393" s="47"/>
      <c r="I393" s="51"/>
      <c r="J393" s="50"/>
      <c r="K393" s="49"/>
      <c r="L393" s="48" t="str">
        <f>IF(AND(LEN(K393)&gt;0,D393="APPROVED"),VLOOKUP(Table5[[#This Row],[COMPLETION %]],COMPL_STATUS,2,1),"")</f>
        <v/>
      </c>
      <c r="M393" s="47"/>
      <c r="N393" s="47"/>
      <c r="O393" s="46"/>
    </row>
    <row r="394" spans="3:15" s="55" customFormat="1" ht="15">
      <c r="C394" s="54"/>
      <c r="D394" s="54"/>
      <c r="E394" s="53"/>
      <c r="F394" s="53"/>
      <c r="G394" s="52">
        <f>ROUND($C$16*Table5[[#This Row],[Hours]],2)</f>
        <v>0</v>
      </c>
      <c r="H394" s="47"/>
      <c r="I394" s="51"/>
      <c r="J394" s="50"/>
      <c r="K394" s="49"/>
      <c r="L394" s="48" t="str">
        <f>IF(AND(LEN(K394)&gt;0,D394="APPROVED"),VLOOKUP(Table5[[#This Row],[COMPLETION %]],COMPL_STATUS,2,1),"")</f>
        <v/>
      </c>
      <c r="M394" s="47"/>
      <c r="N394" s="47"/>
      <c r="O394" s="46"/>
    </row>
    <row r="395" spans="3:15" s="55" customFormat="1" ht="15">
      <c r="C395" s="54"/>
      <c r="D395" s="54"/>
      <c r="E395" s="53"/>
      <c r="F395" s="53"/>
      <c r="G395" s="52">
        <f>ROUND($C$16*Table5[[#This Row],[Hours]],2)</f>
        <v>0</v>
      </c>
      <c r="H395" s="47"/>
      <c r="I395" s="51"/>
      <c r="J395" s="50"/>
      <c r="K395" s="49"/>
      <c r="L395" s="48" t="str">
        <f>IF(AND(LEN(K395)&gt;0,D395="APPROVED"),VLOOKUP(Table5[[#This Row],[COMPLETION %]],COMPL_STATUS,2,1),"")</f>
        <v/>
      </c>
      <c r="M395" s="47"/>
      <c r="N395" s="47"/>
      <c r="O395" s="46"/>
    </row>
    <row r="396" spans="3:15" s="55" customFormat="1" ht="15">
      <c r="C396" s="54"/>
      <c r="D396" s="54"/>
      <c r="E396" s="53"/>
      <c r="F396" s="53"/>
      <c r="G396" s="52">
        <f>ROUND($C$16*Table5[[#This Row],[Hours]],2)</f>
        <v>0</v>
      </c>
      <c r="H396" s="47"/>
      <c r="I396" s="51"/>
      <c r="J396" s="50"/>
      <c r="K396" s="49"/>
      <c r="L396" s="48" t="str">
        <f>IF(AND(LEN(K396)&gt;0,D396="APPROVED"),VLOOKUP(Table5[[#This Row],[COMPLETION %]],COMPL_STATUS,2,1),"")</f>
        <v/>
      </c>
      <c r="M396" s="47"/>
      <c r="N396" s="47"/>
      <c r="O396" s="46"/>
    </row>
    <row r="397" spans="3:15" s="55" customFormat="1" ht="15">
      <c r="C397" s="54"/>
      <c r="D397" s="54"/>
      <c r="E397" s="53"/>
      <c r="F397" s="53"/>
      <c r="G397" s="52">
        <f>ROUND($C$16*Table5[[#This Row],[Hours]],2)</f>
        <v>0</v>
      </c>
      <c r="H397" s="47"/>
      <c r="I397" s="51"/>
      <c r="J397" s="50"/>
      <c r="K397" s="49"/>
      <c r="L397" s="48" t="str">
        <f>IF(AND(LEN(K397)&gt;0,D397="APPROVED"),VLOOKUP(Table5[[#This Row],[COMPLETION %]],COMPL_STATUS,2,1),"")</f>
        <v/>
      </c>
      <c r="M397" s="47"/>
      <c r="N397" s="47"/>
      <c r="O397" s="46"/>
    </row>
    <row r="398" spans="3:15" s="55" customFormat="1" ht="15">
      <c r="C398" s="54"/>
      <c r="D398" s="54"/>
      <c r="E398" s="53"/>
      <c r="F398" s="53"/>
      <c r="G398" s="52">
        <f>ROUND($C$16*Table5[[#This Row],[Hours]],2)</f>
        <v>0</v>
      </c>
      <c r="H398" s="47"/>
      <c r="I398" s="51"/>
      <c r="J398" s="50"/>
      <c r="K398" s="49"/>
      <c r="L398" s="48" t="str">
        <f>IF(AND(LEN(K398)&gt;0,D398="APPROVED"),VLOOKUP(Table5[[#This Row],[COMPLETION %]],COMPL_STATUS,2,1),"")</f>
        <v/>
      </c>
      <c r="M398" s="47"/>
      <c r="N398" s="47"/>
      <c r="O398" s="46"/>
    </row>
    <row r="399" spans="3:15" s="55" customFormat="1" ht="15">
      <c r="C399" s="54"/>
      <c r="D399" s="54"/>
      <c r="E399" s="53"/>
      <c r="F399" s="53"/>
      <c r="G399" s="52">
        <f>ROUND($C$16*Table5[[#This Row],[Hours]],2)</f>
        <v>0</v>
      </c>
      <c r="H399" s="47"/>
      <c r="I399" s="51"/>
      <c r="J399" s="50"/>
      <c r="K399" s="49"/>
      <c r="L399" s="48" t="str">
        <f>IF(AND(LEN(K399)&gt;0,D399="APPROVED"),VLOOKUP(Table5[[#This Row],[COMPLETION %]],COMPL_STATUS,2,1),"")</f>
        <v/>
      </c>
      <c r="M399" s="47"/>
      <c r="N399" s="47"/>
      <c r="O399" s="46"/>
    </row>
    <row r="400" spans="3:15" s="55" customFormat="1" ht="15">
      <c r="C400" s="54"/>
      <c r="D400" s="54"/>
      <c r="E400" s="53"/>
      <c r="F400" s="53"/>
      <c r="G400" s="52">
        <f>ROUND($C$16*Table5[[#This Row],[Hours]],2)</f>
        <v>0</v>
      </c>
      <c r="H400" s="47"/>
      <c r="I400" s="51"/>
      <c r="J400" s="50"/>
      <c r="K400" s="49"/>
      <c r="L400" s="48" t="str">
        <f>IF(AND(LEN(K400)&gt;0,D400="APPROVED"),VLOOKUP(Table5[[#This Row],[COMPLETION %]],COMPL_STATUS,2,1),"")</f>
        <v/>
      </c>
      <c r="M400" s="47"/>
      <c r="N400" s="47"/>
      <c r="O400" s="46"/>
    </row>
    <row r="401" spans="3:15" s="55" customFormat="1" ht="15">
      <c r="C401" s="54"/>
      <c r="D401" s="54"/>
      <c r="E401" s="53"/>
      <c r="F401" s="53"/>
      <c r="G401" s="52">
        <f>ROUND($C$16*Table5[[#This Row],[Hours]],2)</f>
        <v>0</v>
      </c>
      <c r="H401" s="47"/>
      <c r="I401" s="51"/>
      <c r="J401" s="50"/>
      <c r="K401" s="49"/>
      <c r="L401" s="48" t="str">
        <f>IF(AND(LEN(K401)&gt;0,D401="APPROVED"),VLOOKUP(Table5[[#This Row],[COMPLETION %]],COMPL_STATUS,2,1),"")</f>
        <v/>
      </c>
      <c r="M401" s="47"/>
      <c r="N401" s="47"/>
      <c r="O401" s="46"/>
    </row>
    <row r="402" spans="3:15" s="55" customFormat="1" ht="15">
      <c r="C402" s="54"/>
      <c r="D402" s="54"/>
      <c r="E402" s="53"/>
      <c r="F402" s="53"/>
      <c r="G402" s="52">
        <f>ROUND($C$16*Table5[[#This Row],[Hours]],2)</f>
        <v>0</v>
      </c>
      <c r="H402" s="47"/>
      <c r="I402" s="51"/>
      <c r="J402" s="50"/>
      <c r="K402" s="49"/>
      <c r="L402" s="48" t="str">
        <f>IF(AND(LEN(K402)&gt;0,D402="APPROVED"),VLOOKUP(Table5[[#This Row],[COMPLETION %]],COMPL_STATUS,2,1),"")</f>
        <v/>
      </c>
      <c r="M402" s="47"/>
      <c r="N402" s="47"/>
      <c r="O402" s="46"/>
    </row>
    <row r="403" spans="3:15" s="55" customFormat="1" ht="15">
      <c r="C403" s="54"/>
      <c r="D403" s="54"/>
      <c r="E403" s="53"/>
      <c r="F403" s="53"/>
      <c r="G403" s="52">
        <f>ROUND($C$16*Table5[[#This Row],[Hours]],2)</f>
        <v>0</v>
      </c>
      <c r="H403" s="47"/>
      <c r="I403" s="51"/>
      <c r="J403" s="50"/>
      <c r="K403" s="49"/>
      <c r="L403" s="48" t="str">
        <f>IF(AND(LEN(K403)&gt;0,D403="APPROVED"),VLOOKUP(Table5[[#This Row],[COMPLETION %]],COMPL_STATUS,2,1),"")</f>
        <v/>
      </c>
      <c r="M403" s="47"/>
      <c r="N403" s="47"/>
      <c r="O403" s="46"/>
    </row>
    <row r="404" spans="3:15" s="55" customFormat="1" ht="15">
      <c r="C404" s="54"/>
      <c r="D404" s="54"/>
      <c r="E404" s="53"/>
      <c r="F404" s="53"/>
      <c r="G404" s="52">
        <f>ROUND($C$16*Table5[[#This Row],[Hours]],2)</f>
        <v>0</v>
      </c>
      <c r="H404" s="47"/>
      <c r="I404" s="51"/>
      <c r="J404" s="50"/>
      <c r="K404" s="49"/>
      <c r="L404" s="48" t="str">
        <f>IF(AND(LEN(K404)&gt;0,D404="APPROVED"),VLOOKUP(Table5[[#This Row],[COMPLETION %]],COMPL_STATUS,2,1),"")</f>
        <v/>
      </c>
      <c r="M404" s="47"/>
      <c r="N404" s="47"/>
      <c r="O404" s="46"/>
    </row>
    <row r="405" spans="3:15" s="55" customFormat="1" ht="15">
      <c r="C405" s="54"/>
      <c r="D405" s="54"/>
      <c r="E405" s="53"/>
      <c r="F405" s="53"/>
      <c r="G405" s="52">
        <f>ROUND($C$16*Table5[[#This Row],[Hours]],2)</f>
        <v>0</v>
      </c>
      <c r="H405" s="47"/>
      <c r="I405" s="51"/>
      <c r="J405" s="50"/>
      <c r="K405" s="49"/>
      <c r="L405" s="48" t="str">
        <f>IF(AND(LEN(K405)&gt;0,D405="APPROVED"),VLOOKUP(Table5[[#This Row],[COMPLETION %]],COMPL_STATUS,2,1),"")</f>
        <v/>
      </c>
      <c r="M405" s="47"/>
      <c r="N405" s="47"/>
      <c r="O405" s="46"/>
    </row>
    <row r="406" spans="3:15" s="55" customFormat="1" ht="15">
      <c r="C406" s="54"/>
      <c r="D406" s="54"/>
      <c r="E406" s="53"/>
      <c r="F406" s="53"/>
      <c r="G406" s="52">
        <f>ROUND($C$16*Table5[[#This Row],[Hours]],2)</f>
        <v>0</v>
      </c>
      <c r="H406" s="47"/>
      <c r="I406" s="51"/>
      <c r="J406" s="50"/>
      <c r="K406" s="49"/>
      <c r="L406" s="48" t="str">
        <f>IF(AND(LEN(K406)&gt;0,D406="APPROVED"),VLOOKUP(Table5[[#This Row],[COMPLETION %]],COMPL_STATUS,2,1),"")</f>
        <v/>
      </c>
      <c r="M406" s="47"/>
      <c r="N406" s="47"/>
      <c r="O406" s="46"/>
    </row>
    <row r="407" spans="3:15" s="55" customFormat="1" ht="15">
      <c r="C407" s="54"/>
      <c r="D407" s="54"/>
      <c r="E407" s="53"/>
      <c r="F407" s="53"/>
      <c r="G407" s="52">
        <f>ROUND($C$16*Table5[[#This Row],[Hours]],2)</f>
        <v>0</v>
      </c>
      <c r="H407" s="47"/>
      <c r="I407" s="51"/>
      <c r="J407" s="50"/>
      <c r="K407" s="49"/>
      <c r="L407" s="48" t="str">
        <f>IF(AND(LEN(K407)&gt;0,D407="APPROVED"),VLOOKUP(Table5[[#This Row],[COMPLETION %]],COMPL_STATUS,2,1),"")</f>
        <v/>
      </c>
      <c r="M407" s="47"/>
      <c r="N407" s="47"/>
      <c r="O407" s="46"/>
    </row>
    <row r="408" spans="3:15" s="55" customFormat="1" ht="15">
      <c r="C408" s="54"/>
      <c r="D408" s="54"/>
      <c r="E408" s="53"/>
      <c r="F408" s="53"/>
      <c r="G408" s="52">
        <f>ROUND($C$16*Table5[[#This Row],[Hours]],2)</f>
        <v>0</v>
      </c>
      <c r="H408" s="47"/>
      <c r="I408" s="51"/>
      <c r="J408" s="50"/>
      <c r="K408" s="49"/>
      <c r="L408" s="48" t="str">
        <f>IF(AND(LEN(K408)&gt;0,D408="APPROVED"),VLOOKUP(Table5[[#This Row],[COMPLETION %]],COMPL_STATUS,2,1),"")</f>
        <v/>
      </c>
      <c r="M408" s="47"/>
      <c r="N408" s="47"/>
      <c r="O408" s="46"/>
    </row>
    <row r="409" spans="3:15" s="55" customFormat="1" ht="15">
      <c r="C409" s="54"/>
      <c r="D409" s="54"/>
      <c r="E409" s="53"/>
      <c r="F409" s="53"/>
      <c r="G409" s="52">
        <f>ROUND($C$16*Table5[[#This Row],[Hours]],2)</f>
        <v>0</v>
      </c>
      <c r="H409" s="47"/>
      <c r="I409" s="51"/>
      <c r="J409" s="50"/>
      <c r="K409" s="49"/>
      <c r="L409" s="48" t="str">
        <f>IF(AND(LEN(K409)&gt;0,D409="APPROVED"),VLOOKUP(Table5[[#This Row],[COMPLETION %]],COMPL_STATUS,2,1),"")</f>
        <v/>
      </c>
      <c r="M409" s="47"/>
      <c r="N409" s="47"/>
      <c r="O409" s="46"/>
    </row>
    <row r="410" spans="3:15" s="55" customFormat="1" ht="15">
      <c r="C410" s="54"/>
      <c r="D410" s="54"/>
      <c r="E410" s="53"/>
      <c r="F410" s="53"/>
      <c r="G410" s="52">
        <f>ROUND($C$16*Table5[[#This Row],[Hours]],2)</f>
        <v>0</v>
      </c>
      <c r="H410" s="47"/>
      <c r="I410" s="51"/>
      <c r="J410" s="50"/>
      <c r="K410" s="49"/>
      <c r="L410" s="48" t="str">
        <f>IF(AND(LEN(K410)&gt;0,D410="APPROVED"),VLOOKUP(Table5[[#This Row],[COMPLETION %]],COMPL_STATUS,2,1),"")</f>
        <v/>
      </c>
      <c r="M410" s="47"/>
      <c r="N410" s="47"/>
      <c r="O410" s="46"/>
    </row>
    <row r="411" spans="3:15" s="55" customFormat="1" ht="15">
      <c r="C411" s="54"/>
      <c r="D411" s="54"/>
      <c r="E411" s="53"/>
      <c r="F411" s="53"/>
      <c r="G411" s="52">
        <f>ROUND($C$16*Table5[[#This Row],[Hours]],2)</f>
        <v>0</v>
      </c>
      <c r="H411" s="47"/>
      <c r="I411" s="51"/>
      <c r="J411" s="50"/>
      <c r="K411" s="49"/>
      <c r="L411" s="48" t="str">
        <f>IF(AND(LEN(K411)&gt;0,D411="APPROVED"),VLOOKUP(Table5[[#This Row],[COMPLETION %]],COMPL_STATUS,2,1),"")</f>
        <v/>
      </c>
      <c r="M411" s="47"/>
      <c r="N411" s="47"/>
      <c r="O411" s="46"/>
    </row>
    <row r="412" spans="3:15" s="55" customFormat="1" ht="15">
      <c r="C412" s="54"/>
      <c r="D412" s="54"/>
      <c r="E412" s="53"/>
      <c r="F412" s="53"/>
      <c r="G412" s="52">
        <f>ROUND($C$16*Table5[[#This Row],[Hours]],2)</f>
        <v>0</v>
      </c>
      <c r="H412" s="47"/>
      <c r="I412" s="51"/>
      <c r="J412" s="50"/>
      <c r="K412" s="49"/>
      <c r="L412" s="48" t="str">
        <f>IF(AND(LEN(K412)&gt;0,D412="APPROVED"),VLOOKUP(Table5[[#This Row],[COMPLETION %]],COMPL_STATUS,2,1),"")</f>
        <v/>
      </c>
      <c r="M412" s="47"/>
      <c r="N412" s="47"/>
      <c r="O412" s="46"/>
    </row>
    <row r="413" spans="3:15" s="55" customFormat="1" ht="15">
      <c r="C413" s="54"/>
      <c r="D413" s="54"/>
      <c r="E413" s="53"/>
      <c r="F413" s="53"/>
      <c r="G413" s="52">
        <f>ROUND($C$16*Table5[[#This Row],[Hours]],2)</f>
        <v>0</v>
      </c>
      <c r="H413" s="47"/>
      <c r="I413" s="51"/>
      <c r="J413" s="50"/>
      <c r="K413" s="49"/>
      <c r="L413" s="48" t="str">
        <f>IF(AND(LEN(K413)&gt;0,D413="APPROVED"),VLOOKUP(Table5[[#This Row],[COMPLETION %]],COMPL_STATUS,2,1),"")</f>
        <v/>
      </c>
      <c r="M413" s="47"/>
      <c r="N413" s="47"/>
      <c r="O413" s="46"/>
    </row>
    <row r="414" spans="3:15" s="55" customFormat="1" ht="15">
      <c r="C414" s="54"/>
      <c r="D414" s="54"/>
      <c r="E414" s="53"/>
      <c r="F414" s="53"/>
      <c r="G414" s="52">
        <f>ROUND($C$16*Table5[[#This Row],[Hours]],2)</f>
        <v>0</v>
      </c>
      <c r="H414" s="47"/>
      <c r="I414" s="51"/>
      <c r="J414" s="50"/>
      <c r="K414" s="49"/>
      <c r="L414" s="48" t="str">
        <f>IF(AND(LEN(K414)&gt;0,D414="APPROVED"),VLOOKUP(Table5[[#This Row],[COMPLETION %]],COMPL_STATUS,2,1),"")</f>
        <v/>
      </c>
      <c r="M414" s="47"/>
      <c r="N414" s="47"/>
      <c r="O414" s="46"/>
    </row>
    <row r="415" spans="3:15" s="55" customFormat="1" ht="15">
      <c r="C415" s="54"/>
      <c r="D415" s="54"/>
      <c r="E415" s="53"/>
      <c r="F415" s="53"/>
      <c r="G415" s="52">
        <f>ROUND($C$16*Table5[[#This Row],[Hours]],2)</f>
        <v>0</v>
      </c>
      <c r="H415" s="47"/>
      <c r="I415" s="51"/>
      <c r="J415" s="50"/>
      <c r="K415" s="49"/>
      <c r="L415" s="48" t="str">
        <f>IF(AND(LEN(K415)&gt;0,D415="APPROVED"),VLOOKUP(Table5[[#This Row],[COMPLETION %]],COMPL_STATUS,2,1),"")</f>
        <v/>
      </c>
      <c r="M415" s="47"/>
      <c r="N415" s="47"/>
      <c r="O415" s="46"/>
    </row>
    <row r="416" spans="3:15" s="55" customFormat="1" ht="15">
      <c r="C416" s="54"/>
      <c r="D416" s="54"/>
      <c r="E416" s="53"/>
      <c r="F416" s="53"/>
      <c r="G416" s="52">
        <f>ROUND($C$16*Table5[[#This Row],[Hours]],2)</f>
        <v>0</v>
      </c>
      <c r="H416" s="47"/>
      <c r="I416" s="51"/>
      <c r="J416" s="50"/>
      <c r="K416" s="49"/>
      <c r="L416" s="48" t="str">
        <f>IF(AND(LEN(K416)&gt;0,D416="APPROVED"),VLOOKUP(Table5[[#This Row],[COMPLETION %]],COMPL_STATUS,2,1),"")</f>
        <v/>
      </c>
      <c r="M416" s="47"/>
      <c r="N416" s="47"/>
      <c r="O416" s="46"/>
    </row>
    <row r="417" spans="3:15" s="55" customFormat="1" ht="15">
      <c r="C417" s="54"/>
      <c r="D417" s="54"/>
      <c r="E417" s="53"/>
      <c r="F417" s="53"/>
      <c r="G417" s="52">
        <f>ROUND($C$16*Table5[[#This Row],[Hours]],2)</f>
        <v>0</v>
      </c>
      <c r="H417" s="47"/>
      <c r="I417" s="51"/>
      <c r="J417" s="50"/>
      <c r="K417" s="49"/>
      <c r="L417" s="48" t="str">
        <f>IF(AND(LEN(K417)&gt;0,D417="APPROVED"),VLOOKUP(Table5[[#This Row],[COMPLETION %]],COMPL_STATUS,2,1),"")</f>
        <v/>
      </c>
      <c r="M417" s="47"/>
      <c r="N417" s="47"/>
      <c r="O417" s="46"/>
    </row>
    <row r="418" spans="3:15" s="55" customFormat="1" ht="15">
      <c r="C418" s="54"/>
      <c r="D418" s="54"/>
      <c r="E418" s="53"/>
      <c r="F418" s="53"/>
      <c r="G418" s="52">
        <f>ROUND($C$16*Table5[[#This Row],[Hours]],2)</f>
        <v>0</v>
      </c>
      <c r="H418" s="47"/>
      <c r="I418" s="51"/>
      <c r="J418" s="50"/>
      <c r="K418" s="49"/>
      <c r="L418" s="48" t="str">
        <f>IF(AND(LEN(K418)&gt;0,D418="APPROVED"),VLOOKUP(Table5[[#This Row],[COMPLETION %]],COMPL_STATUS,2,1),"")</f>
        <v/>
      </c>
      <c r="M418" s="47"/>
      <c r="N418" s="47"/>
      <c r="O418" s="46"/>
    </row>
    <row r="419" spans="3:15" s="55" customFormat="1" ht="15">
      <c r="C419" s="54"/>
      <c r="D419" s="54"/>
      <c r="E419" s="53"/>
      <c r="F419" s="53"/>
      <c r="G419" s="52">
        <f>ROUND($C$16*Table5[[#This Row],[Hours]],2)</f>
        <v>0</v>
      </c>
      <c r="H419" s="47"/>
      <c r="I419" s="51"/>
      <c r="J419" s="50"/>
      <c r="K419" s="49"/>
      <c r="L419" s="48" t="str">
        <f>IF(AND(LEN(K419)&gt;0,D419="APPROVED"),VLOOKUP(Table5[[#This Row],[COMPLETION %]],COMPL_STATUS,2,1),"")</f>
        <v/>
      </c>
      <c r="M419" s="47"/>
      <c r="N419" s="47"/>
      <c r="O419" s="46"/>
    </row>
    <row r="420" spans="3:15" s="55" customFormat="1" ht="15">
      <c r="C420" s="54"/>
      <c r="D420" s="54"/>
      <c r="E420" s="53"/>
      <c r="F420" s="53"/>
      <c r="G420" s="52">
        <f>ROUND($C$16*Table5[[#This Row],[Hours]],2)</f>
        <v>0</v>
      </c>
      <c r="H420" s="47"/>
      <c r="I420" s="51"/>
      <c r="J420" s="50"/>
      <c r="K420" s="49"/>
      <c r="L420" s="48" t="str">
        <f>IF(AND(LEN(K420)&gt;0,D420="APPROVED"),VLOOKUP(Table5[[#This Row],[COMPLETION %]],COMPL_STATUS,2,1),"")</f>
        <v/>
      </c>
      <c r="M420" s="47"/>
      <c r="N420" s="47"/>
      <c r="O420" s="46"/>
    </row>
    <row r="421" spans="3:15" s="55" customFormat="1" ht="15">
      <c r="C421" s="54"/>
      <c r="D421" s="54"/>
      <c r="E421" s="53"/>
      <c r="F421" s="53"/>
      <c r="G421" s="52">
        <f>ROUND($C$16*Table5[[#This Row],[Hours]],2)</f>
        <v>0</v>
      </c>
      <c r="H421" s="47"/>
      <c r="I421" s="51"/>
      <c r="J421" s="50"/>
      <c r="K421" s="49"/>
      <c r="L421" s="48" t="str">
        <f>IF(AND(LEN(K421)&gt;0,D421="APPROVED"),VLOOKUP(Table5[[#This Row],[COMPLETION %]],COMPL_STATUS,2,1),"")</f>
        <v/>
      </c>
      <c r="M421" s="47"/>
      <c r="N421" s="47"/>
      <c r="O421" s="46"/>
    </row>
    <row r="422" spans="3:15" s="55" customFormat="1" ht="15">
      <c r="C422" s="54"/>
      <c r="D422" s="54"/>
      <c r="E422" s="53"/>
      <c r="F422" s="53"/>
      <c r="G422" s="52">
        <f>ROUND($C$16*Table5[[#This Row],[Hours]],2)</f>
        <v>0</v>
      </c>
      <c r="H422" s="47"/>
      <c r="I422" s="51"/>
      <c r="J422" s="50"/>
      <c r="K422" s="49"/>
      <c r="L422" s="48" t="str">
        <f>IF(AND(LEN(K422)&gt;0,D422="APPROVED"),VLOOKUP(Table5[[#This Row],[COMPLETION %]],COMPL_STATUS,2,1),"")</f>
        <v/>
      </c>
      <c r="M422" s="47"/>
      <c r="N422" s="47"/>
      <c r="O422" s="46"/>
    </row>
    <row r="423" spans="3:15" s="55" customFormat="1" ht="15">
      <c r="C423" s="54"/>
      <c r="D423" s="54"/>
      <c r="E423" s="53"/>
      <c r="F423" s="53"/>
      <c r="G423" s="52">
        <f>ROUND($C$16*Table5[[#This Row],[Hours]],2)</f>
        <v>0</v>
      </c>
      <c r="H423" s="47"/>
      <c r="I423" s="51"/>
      <c r="J423" s="50"/>
      <c r="K423" s="49"/>
      <c r="L423" s="48" t="str">
        <f>IF(AND(LEN(K423)&gt;0,D423="APPROVED"),VLOOKUP(Table5[[#This Row],[COMPLETION %]],COMPL_STATUS,2,1),"")</f>
        <v/>
      </c>
      <c r="M423" s="47"/>
      <c r="N423" s="47"/>
      <c r="O423" s="46"/>
    </row>
    <row r="424" spans="3:15" s="55" customFormat="1" ht="15">
      <c r="C424" s="54"/>
      <c r="D424" s="54"/>
      <c r="E424" s="53"/>
      <c r="F424" s="53"/>
      <c r="G424" s="52">
        <f>ROUND($C$16*Table5[[#This Row],[Hours]],2)</f>
        <v>0</v>
      </c>
      <c r="H424" s="47"/>
      <c r="I424" s="51"/>
      <c r="J424" s="50"/>
      <c r="K424" s="49"/>
      <c r="L424" s="48" t="str">
        <f>IF(AND(LEN(K424)&gt;0,D424="APPROVED"),VLOOKUP(Table5[[#This Row],[COMPLETION %]],COMPL_STATUS,2,1),"")</f>
        <v/>
      </c>
      <c r="M424" s="47"/>
      <c r="N424" s="47"/>
      <c r="O424" s="46"/>
    </row>
    <row r="425" spans="3:15" s="55" customFormat="1" ht="15">
      <c r="C425" s="54"/>
      <c r="D425" s="54"/>
      <c r="E425" s="53"/>
      <c r="F425" s="53"/>
      <c r="G425" s="52">
        <f>ROUND($C$16*Table5[[#This Row],[Hours]],2)</f>
        <v>0</v>
      </c>
      <c r="H425" s="47"/>
      <c r="I425" s="51"/>
      <c r="J425" s="50"/>
      <c r="K425" s="49"/>
      <c r="L425" s="48" t="str">
        <f>IF(AND(LEN(K425)&gt;0,D425="APPROVED"),VLOOKUP(Table5[[#This Row],[COMPLETION %]],COMPL_STATUS,2,1),"")</f>
        <v/>
      </c>
      <c r="M425" s="47"/>
      <c r="N425" s="47"/>
      <c r="O425" s="46"/>
    </row>
    <row r="426" spans="3:15" s="55" customFormat="1" ht="15">
      <c r="C426" s="54"/>
      <c r="D426" s="54"/>
      <c r="E426" s="53"/>
      <c r="F426" s="53"/>
      <c r="G426" s="52">
        <f>ROUND($C$16*Table5[[#This Row],[Hours]],2)</f>
        <v>0</v>
      </c>
      <c r="H426" s="47"/>
      <c r="I426" s="51"/>
      <c r="J426" s="50"/>
      <c r="K426" s="49"/>
      <c r="L426" s="48" t="str">
        <f>IF(AND(LEN(K426)&gt;0,D426="APPROVED"),VLOOKUP(Table5[[#This Row],[COMPLETION %]],COMPL_STATUS,2,1),"")</f>
        <v/>
      </c>
      <c r="M426" s="47"/>
      <c r="N426" s="47"/>
      <c r="O426" s="46"/>
    </row>
    <row r="427" spans="3:15" s="55" customFormat="1" ht="15">
      <c r="C427" s="54"/>
      <c r="D427" s="54"/>
      <c r="E427" s="53"/>
      <c r="F427" s="53"/>
      <c r="G427" s="52">
        <f>ROUND($C$16*Table5[[#This Row],[Hours]],2)</f>
        <v>0</v>
      </c>
      <c r="H427" s="47"/>
      <c r="I427" s="51"/>
      <c r="J427" s="50"/>
      <c r="K427" s="49"/>
      <c r="L427" s="48" t="str">
        <f>IF(AND(LEN(K427)&gt;0,D427="APPROVED"),VLOOKUP(Table5[[#This Row],[COMPLETION %]],COMPL_STATUS,2,1),"")</f>
        <v/>
      </c>
      <c r="M427" s="47"/>
      <c r="N427" s="47"/>
      <c r="O427" s="46"/>
    </row>
    <row r="428" spans="3:15" s="55" customFormat="1" ht="15">
      <c r="C428" s="54"/>
      <c r="D428" s="54"/>
      <c r="E428" s="53"/>
      <c r="F428" s="53"/>
      <c r="G428" s="52">
        <f>ROUND($C$16*Table5[[#This Row],[Hours]],2)</f>
        <v>0</v>
      </c>
      <c r="H428" s="47"/>
      <c r="I428" s="51"/>
      <c r="J428" s="50"/>
      <c r="K428" s="49"/>
      <c r="L428" s="48" t="str">
        <f>IF(AND(LEN(K428)&gt;0,D428="APPROVED"),VLOOKUP(Table5[[#This Row],[COMPLETION %]],COMPL_STATUS,2,1),"")</f>
        <v/>
      </c>
      <c r="M428" s="47"/>
      <c r="N428" s="47"/>
      <c r="O428" s="46"/>
    </row>
    <row r="429" spans="3:15" s="55" customFormat="1" ht="15">
      <c r="C429" s="54"/>
      <c r="D429" s="54"/>
      <c r="E429" s="53"/>
      <c r="F429" s="53"/>
      <c r="G429" s="52">
        <f>ROUND($C$16*Table5[[#This Row],[Hours]],2)</f>
        <v>0</v>
      </c>
      <c r="H429" s="47"/>
      <c r="I429" s="51"/>
      <c r="J429" s="50"/>
      <c r="K429" s="49"/>
      <c r="L429" s="48" t="str">
        <f>IF(AND(LEN(K429)&gt;0,D429="APPROVED"),VLOOKUP(Table5[[#This Row],[COMPLETION %]],COMPL_STATUS,2,1),"")</f>
        <v/>
      </c>
      <c r="M429" s="47"/>
      <c r="N429" s="47"/>
      <c r="O429" s="46"/>
    </row>
    <row r="430" spans="3:15" s="55" customFormat="1" ht="15">
      <c r="C430" s="54"/>
      <c r="D430" s="54"/>
      <c r="E430" s="53"/>
      <c r="F430" s="53"/>
      <c r="G430" s="52">
        <f>ROUND($C$16*Table5[[#This Row],[Hours]],2)</f>
        <v>0</v>
      </c>
      <c r="H430" s="47"/>
      <c r="I430" s="51"/>
      <c r="J430" s="50"/>
      <c r="K430" s="49"/>
      <c r="L430" s="48" t="str">
        <f>IF(AND(LEN(K430)&gt;0,D430="APPROVED"),VLOOKUP(Table5[[#This Row],[COMPLETION %]],COMPL_STATUS,2,1),"")</f>
        <v/>
      </c>
      <c r="M430" s="47"/>
      <c r="N430" s="47"/>
      <c r="O430" s="46"/>
    </row>
    <row r="431" spans="3:15" s="55" customFormat="1" ht="15">
      <c r="C431" s="54"/>
      <c r="D431" s="54"/>
      <c r="E431" s="53"/>
      <c r="F431" s="53"/>
      <c r="G431" s="52">
        <f>ROUND($C$16*Table5[[#This Row],[Hours]],2)</f>
        <v>0</v>
      </c>
      <c r="H431" s="47"/>
      <c r="I431" s="51"/>
      <c r="J431" s="50"/>
      <c r="K431" s="49"/>
      <c r="L431" s="48" t="str">
        <f>IF(AND(LEN(K431)&gt;0,D431="APPROVED"),VLOOKUP(Table5[[#This Row],[COMPLETION %]],COMPL_STATUS,2,1),"")</f>
        <v/>
      </c>
      <c r="M431" s="47"/>
      <c r="N431" s="47"/>
      <c r="O431" s="46"/>
    </row>
    <row r="432" spans="3:15" s="55" customFormat="1" ht="15">
      <c r="C432" s="54"/>
      <c r="D432" s="54"/>
      <c r="E432" s="53"/>
      <c r="F432" s="53"/>
      <c r="G432" s="52">
        <f>ROUND($C$16*Table5[[#This Row],[Hours]],2)</f>
        <v>0</v>
      </c>
      <c r="H432" s="47"/>
      <c r="I432" s="51"/>
      <c r="J432" s="50"/>
      <c r="K432" s="49"/>
      <c r="L432" s="48" t="str">
        <f>IF(AND(LEN(K432)&gt;0,D432="APPROVED"),VLOOKUP(Table5[[#This Row],[COMPLETION %]],COMPL_STATUS,2,1),"")</f>
        <v/>
      </c>
      <c r="M432" s="47"/>
      <c r="N432" s="47"/>
      <c r="O432" s="46"/>
    </row>
    <row r="433" spans="3:15" s="55" customFormat="1" ht="15">
      <c r="C433" s="54"/>
      <c r="D433" s="54"/>
      <c r="E433" s="53"/>
      <c r="F433" s="53"/>
      <c r="G433" s="52">
        <f>ROUND($C$16*Table5[[#This Row],[Hours]],2)</f>
        <v>0</v>
      </c>
      <c r="H433" s="47"/>
      <c r="I433" s="51"/>
      <c r="J433" s="50"/>
      <c r="K433" s="49"/>
      <c r="L433" s="48" t="str">
        <f>IF(AND(LEN(K433)&gt;0,D433="APPROVED"),VLOOKUP(Table5[[#This Row],[COMPLETION %]],COMPL_STATUS,2,1),"")</f>
        <v/>
      </c>
      <c r="M433" s="47"/>
      <c r="N433" s="47"/>
      <c r="O433" s="46"/>
    </row>
    <row r="434" spans="3:15" s="55" customFormat="1" ht="15">
      <c r="C434" s="54"/>
      <c r="D434" s="54"/>
      <c r="E434" s="53"/>
      <c r="F434" s="53"/>
      <c r="G434" s="52">
        <f>ROUND($C$16*Table5[[#This Row],[Hours]],2)</f>
        <v>0</v>
      </c>
      <c r="H434" s="47"/>
      <c r="I434" s="51"/>
      <c r="J434" s="50"/>
      <c r="K434" s="49"/>
      <c r="L434" s="48" t="str">
        <f>IF(AND(LEN(K434)&gt;0,D434="APPROVED"),VLOOKUP(Table5[[#This Row],[COMPLETION %]],COMPL_STATUS,2,1),"")</f>
        <v/>
      </c>
      <c r="M434" s="47"/>
      <c r="N434" s="47"/>
      <c r="O434" s="46"/>
    </row>
    <row r="435" spans="3:15" s="55" customFormat="1" ht="15">
      <c r="C435" s="54"/>
      <c r="D435" s="54"/>
      <c r="E435" s="53"/>
      <c r="F435" s="53"/>
      <c r="G435" s="52">
        <f>ROUND($C$16*Table5[[#This Row],[Hours]],2)</f>
        <v>0</v>
      </c>
      <c r="H435" s="47"/>
      <c r="I435" s="51"/>
      <c r="J435" s="50"/>
      <c r="K435" s="49"/>
      <c r="L435" s="48" t="str">
        <f>IF(AND(LEN(K435)&gt;0,D435="APPROVED"),VLOOKUP(Table5[[#This Row],[COMPLETION %]],COMPL_STATUS,2,1),"")</f>
        <v/>
      </c>
      <c r="M435" s="47"/>
      <c r="N435" s="47"/>
      <c r="O435" s="46"/>
    </row>
    <row r="436" spans="3:15" s="55" customFormat="1" ht="15">
      <c r="C436" s="54"/>
      <c r="D436" s="54"/>
      <c r="E436" s="53"/>
      <c r="F436" s="53"/>
      <c r="G436" s="52">
        <f>ROUND($C$16*Table5[[#This Row],[Hours]],2)</f>
        <v>0</v>
      </c>
      <c r="H436" s="47"/>
      <c r="I436" s="51"/>
      <c r="J436" s="50"/>
      <c r="K436" s="49"/>
      <c r="L436" s="48" t="str">
        <f>IF(AND(LEN(K436)&gt;0,D436="APPROVED"),VLOOKUP(Table5[[#This Row],[COMPLETION %]],COMPL_STATUS,2,1),"")</f>
        <v/>
      </c>
      <c r="M436" s="47"/>
      <c r="N436" s="47"/>
      <c r="O436" s="46"/>
    </row>
    <row r="437" spans="3:15" s="55" customFormat="1" ht="15">
      <c r="C437" s="54"/>
      <c r="D437" s="54"/>
      <c r="E437" s="53"/>
      <c r="F437" s="53"/>
      <c r="G437" s="52">
        <f>ROUND($C$16*Table5[[#This Row],[Hours]],2)</f>
        <v>0</v>
      </c>
      <c r="H437" s="47"/>
      <c r="I437" s="51"/>
      <c r="J437" s="50"/>
      <c r="K437" s="49"/>
      <c r="L437" s="48" t="str">
        <f>IF(AND(LEN(K437)&gt;0,D437="APPROVED"),VLOOKUP(Table5[[#This Row],[COMPLETION %]],COMPL_STATUS,2,1),"")</f>
        <v/>
      </c>
      <c r="M437" s="47"/>
      <c r="N437" s="47"/>
      <c r="O437" s="46"/>
    </row>
    <row r="438" spans="3:15" s="55" customFormat="1" ht="15">
      <c r="C438" s="54"/>
      <c r="D438" s="54"/>
      <c r="E438" s="53"/>
      <c r="F438" s="53"/>
      <c r="G438" s="52">
        <f>ROUND($C$16*Table5[[#This Row],[Hours]],2)</f>
        <v>0</v>
      </c>
      <c r="H438" s="47"/>
      <c r="I438" s="51"/>
      <c r="J438" s="50"/>
      <c r="K438" s="49"/>
      <c r="L438" s="48" t="str">
        <f>IF(AND(LEN(K438)&gt;0,D438="APPROVED"),VLOOKUP(Table5[[#This Row],[COMPLETION %]],COMPL_STATUS,2,1),"")</f>
        <v/>
      </c>
      <c r="M438" s="47"/>
      <c r="N438" s="47"/>
      <c r="O438" s="46"/>
    </row>
    <row r="439" spans="3:15" s="55" customFormat="1" ht="15">
      <c r="C439" s="54"/>
      <c r="D439" s="54"/>
      <c r="E439" s="53"/>
      <c r="F439" s="53"/>
      <c r="G439" s="52">
        <f>ROUND($C$16*Table5[[#This Row],[Hours]],2)</f>
        <v>0</v>
      </c>
      <c r="H439" s="47"/>
      <c r="I439" s="51"/>
      <c r="J439" s="50"/>
      <c r="K439" s="49"/>
      <c r="L439" s="48" t="str">
        <f>IF(AND(LEN(K439)&gt;0,D439="APPROVED"),VLOOKUP(Table5[[#This Row],[COMPLETION %]],COMPL_STATUS,2,1),"")</f>
        <v/>
      </c>
      <c r="M439" s="47"/>
      <c r="N439" s="47"/>
      <c r="O439" s="46"/>
    </row>
    <row r="440" spans="3:15" s="55" customFormat="1" ht="15">
      <c r="C440" s="54"/>
      <c r="D440" s="54"/>
      <c r="E440" s="53"/>
      <c r="F440" s="53"/>
      <c r="G440" s="52">
        <f>ROUND($C$16*Table5[[#This Row],[Hours]],2)</f>
        <v>0</v>
      </c>
      <c r="H440" s="47"/>
      <c r="I440" s="51"/>
      <c r="J440" s="50"/>
      <c r="K440" s="49"/>
      <c r="L440" s="48" t="str">
        <f>IF(AND(LEN(K440)&gt;0,D440="APPROVED"),VLOOKUP(Table5[[#This Row],[COMPLETION %]],COMPL_STATUS,2,1),"")</f>
        <v/>
      </c>
      <c r="M440" s="47"/>
      <c r="N440" s="47"/>
      <c r="O440" s="46"/>
    </row>
    <row r="441" spans="3:15" s="55" customFormat="1" ht="15">
      <c r="C441" s="54"/>
      <c r="D441" s="54"/>
      <c r="E441" s="53"/>
      <c r="F441" s="53"/>
      <c r="G441" s="52">
        <f>ROUND($C$16*Table5[[#This Row],[Hours]],2)</f>
        <v>0</v>
      </c>
      <c r="H441" s="47"/>
      <c r="I441" s="51"/>
      <c r="J441" s="50"/>
      <c r="K441" s="49"/>
      <c r="L441" s="48" t="str">
        <f>IF(AND(LEN(K441)&gt;0,D441="APPROVED"),VLOOKUP(Table5[[#This Row],[COMPLETION %]],COMPL_STATUS,2,1),"")</f>
        <v/>
      </c>
      <c r="M441" s="47"/>
      <c r="N441" s="47"/>
      <c r="O441" s="46"/>
    </row>
    <row r="442" spans="3:15" s="55" customFormat="1" ht="15">
      <c r="C442" s="54"/>
      <c r="D442" s="54"/>
      <c r="E442" s="53"/>
      <c r="F442" s="53"/>
      <c r="G442" s="52">
        <f>ROUND($C$16*Table5[[#This Row],[Hours]],2)</f>
        <v>0</v>
      </c>
      <c r="H442" s="47"/>
      <c r="I442" s="51"/>
      <c r="J442" s="50"/>
      <c r="K442" s="49"/>
      <c r="L442" s="48" t="str">
        <f>IF(AND(LEN(K442)&gt;0,D442="APPROVED"),VLOOKUP(Table5[[#This Row],[COMPLETION %]],COMPL_STATUS,2,1),"")</f>
        <v/>
      </c>
      <c r="M442" s="47"/>
      <c r="N442" s="47"/>
      <c r="O442" s="46"/>
    </row>
    <row r="443" spans="3:15" s="55" customFormat="1" ht="15">
      <c r="C443" s="54"/>
      <c r="D443" s="54"/>
      <c r="E443" s="53"/>
      <c r="F443" s="53"/>
      <c r="G443" s="52">
        <f>ROUND($C$16*Table5[[#This Row],[Hours]],2)</f>
        <v>0</v>
      </c>
      <c r="H443" s="47"/>
      <c r="I443" s="51"/>
      <c r="J443" s="50"/>
      <c r="K443" s="49"/>
      <c r="L443" s="48" t="str">
        <f>IF(AND(LEN(K443)&gt;0,D443="APPROVED"),VLOOKUP(Table5[[#This Row],[COMPLETION %]],COMPL_STATUS,2,1),"")</f>
        <v/>
      </c>
      <c r="M443" s="47"/>
      <c r="N443" s="47"/>
      <c r="O443" s="46"/>
    </row>
    <row r="444" spans="3:15" s="55" customFormat="1" ht="15">
      <c r="C444" s="54"/>
      <c r="D444" s="54"/>
      <c r="E444" s="53"/>
      <c r="F444" s="53"/>
      <c r="G444" s="52">
        <f>ROUND($C$16*Table5[[#This Row],[Hours]],2)</f>
        <v>0</v>
      </c>
      <c r="H444" s="47"/>
      <c r="I444" s="51"/>
      <c r="J444" s="50"/>
      <c r="K444" s="49"/>
      <c r="L444" s="48" t="str">
        <f>IF(AND(LEN(K444)&gt;0,D444="APPROVED"),VLOOKUP(Table5[[#This Row],[COMPLETION %]],COMPL_STATUS,2,1),"")</f>
        <v/>
      </c>
      <c r="M444" s="47"/>
      <c r="N444" s="47"/>
      <c r="O444" s="46"/>
    </row>
    <row r="445" spans="3:15" s="55" customFormat="1" ht="15">
      <c r="C445" s="54"/>
      <c r="D445" s="54"/>
      <c r="E445" s="53"/>
      <c r="F445" s="53"/>
      <c r="G445" s="52">
        <f>ROUND($C$16*Table5[[#This Row],[Hours]],2)</f>
        <v>0</v>
      </c>
      <c r="H445" s="47"/>
      <c r="I445" s="51"/>
      <c r="J445" s="50"/>
      <c r="K445" s="49"/>
      <c r="L445" s="48" t="str">
        <f>IF(AND(LEN(K445)&gt;0,D445="APPROVED"),VLOOKUP(Table5[[#This Row],[COMPLETION %]],COMPL_STATUS,2,1),"")</f>
        <v/>
      </c>
      <c r="M445" s="47"/>
      <c r="N445" s="47"/>
      <c r="O445" s="46"/>
    </row>
    <row r="446" spans="3:15" s="55" customFormat="1" ht="15">
      <c r="C446" s="54"/>
      <c r="D446" s="54"/>
      <c r="E446" s="53"/>
      <c r="F446" s="53"/>
      <c r="G446" s="52">
        <f>ROUND($C$16*Table5[[#This Row],[Hours]],2)</f>
        <v>0</v>
      </c>
      <c r="H446" s="47"/>
      <c r="I446" s="51"/>
      <c r="J446" s="50"/>
      <c r="K446" s="49"/>
      <c r="L446" s="48" t="str">
        <f>IF(AND(LEN(K446)&gt;0,D446="APPROVED"),VLOOKUP(Table5[[#This Row],[COMPLETION %]],COMPL_STATUS,2,1),"")</f>
        <v/>
      </c>
      <c r="M446" s="47"/>
      <c r="N446" s="47"/>
      <c r="O446" s="46"/>
    </row>
    <row r="447" spans="3:15" s="55" customFormat="1" ht="15">
      <c r="C447" s="54"/>
      <c r="D447" s="54"/>
      <c r="E447" s="53"/>
      <c r="F447" s="53"/>
      <c r="G447" s="52">
        <f>ROUND($C$16*Table5[[#This Row],[Hours]],2)</f>
        <v>0</v>
      </c>
      <c r="H447" s="47"/>
      <c r="I447" s="51"/>
      <c r="J447" s="50"/>
      <c r="K447" s="49"/>
      <c r="L447" s="48" t="str">
        <f>IF(AND(LEN(K447)&gt;0,D447="APPROVED"),VLOOKUP(Table5[[#This Row],[COMPLETION %]],COMPL_STATUS,2,1),"")</f>
        <v/>
      </c>
      <c r="M447" s="47"/>
      <c r="N447" s="47"/>
      <c r="O447" s="46"/>
    </row>
    <row r="448" spans="3:15" s="55" customFormat="1" ht="15">
      <c r="C448" s="54"/>
      <c r="D448" s="54"/>
      <c r="E448" s="53"/>
      <c r="F448" s="53"/>
      <c r="G448" s="52">
        <f>ROUND($C$16*Table5[[#This Row],[Hours]],2)</f>
        <v>0</v>
      </c>
      <c r="H448" s="47"/>
      <c r="I448" s="51"/>
      <c r="J448" s="50"/>
      <c r="K448" s="49"/>
      <c r="L448" s="48" t="str">
        <f>IF(AND(LEN(K448)&gt;0,D448="APPROVED"),VLOOKUP(Table5[[#This Row],[COMPLETION %]],COMPL_STATUS,2,1),"")</f>
        <v/>
      </c>
      <c r="M448" s="47"/>
      <c r="N448" s="47"/>
      <c r="O448" s="46"/>
    </row>
    <row r="449" spans="3:15" s="55" customFormat="1" ht="15">
      <c r="C449" s="54"/>
      <c r="D449" s="54"/>
      <c r="E449" s="53"/>
      <c r="F449" s="53"/>
      <c r="G449" s="52">
        <f>ROUND($C$16*Table5[[#This Row],[Hours]],2)</f>
        <v>0</v>
      </c>
      <c r="H449" s="47"/>
      <c r="I449" s="51"/>
      <c r="J449" s="50"/>
      <c r="K449" s="49"/>
      <c r="L449" s="48" t="str">
        <f>IF(AND(LEN(K449)&gt;0,D449="APPROVED"),VLOOKUP(Table5[[#This Row],[COMPLETION %]],COMPL_STATUS,2,1),"")</f>
        <v/>
      </c>
      <c r="M449" s="47"/>
      <c r="N449" s="47"/>
      <c r="O449" s="46"/>
    </row>
    <row r="450" spans="3:15" s="55" customFormat="1" ht="15">
      <c r="C450" s="54"/>
      <c r="D450" s="54"/>
      <c r="E450" s="53"/>
      <c r="F450" s="53"/>
      <c r="G450" s="52">
        <f>ROUND($C$16*Table5[[#This Row],[Hours]],2)</f>
        <v>0</v>
      </c>
      <c r="H450" s="47"/>
      <c r="I450" s="51"/>
      <c r="J450" s="50"/>
      <c r="K450" s="49"/>
      <c r="L450" s="48" t="str">
        <f>IF(AND(LEN(K450)&gt;0,D450="APPROVED"),VLOOKUP(Table5[[#This Row],[COMPLETION %]],COMPL_STATUS,2,1),"")</f>
        <v/>
      </c>
      <c r="M450" s="47"/>
      <c r="N450" s="47"/>
      <c r="O450" s="46"/>
    </row>
    <row r="451" spans="3:15" s="55" customFormat="1" ht="15">
      <c r="C451" s="54"/>
      <c r="D451" s="54"/>
      <c r="E451" s="53"/>
      <c r="F451" s="53"/>
      <c r="G451" s="52">
        <f>ROUND($C$16*Table5[[#This Row],[Hours]],2)</f>
        <v>0</v>
      </c>
      <c r="H451" s="47"/>
      <c r="I451" s="51"/>
      <c r="J451" s="50"/>
      <c r="K451" s="49"/>
      <c r="L451" s="48" t="str">
        <f>IF(AND(LEN(K451)&gt;0,D451="APPROVED"),VLOOKUP(Table5[[#This Row],[COMPLETION %]],COMPL_STATUS,2,1),"")</f>
        <v/>
      </c>
      <c r="M451" s="47"/>
      <c r="N451" s="47"/>
      <c r="O451" s="46"/>
    </row>
    <row r="452" spans="3:15" s="55" customFormat="1" ht="15">
      <c r="C452" s="54"/>
      <c r="D452" s="54"/>
      <c r="E452" s="53"/>
      <c r="F452" s="53"/>
      <c r="G452" s="52">
        <f>ROUND($C$16*Table5[[#This Row],[Hours]],2)</f>
        <v>0</v>
      </c>
      <c r="H452" s="47"/>
      <c r="I452" s="51"/>
      <c r="J452" s="50"/>
      <c r="K452" s="49"/>
      <c r="L452" s="48" t="str">
        <f>IF(AND(LEN(K452)&gt;0,D452="APPROVED"),VLOOKUP(Table5[[#This Row],[COMPLETION %]],COMPL_STATUS,2,1),"")</f>
        <v/>
      </c>
      <c r="M452" s="47"/>
      <c r="N452" s="47"/>
      <c r="O452" s="46"/>
    </row>
    <row r="453" spans="3:15" s="55" customFormat="1" ht="15">
      <c r="C453" s="54"/>
      <c r="D453" s="54"/>
      <c r="E453" s="53"/>
      <c r="F453" s="53"/>
      <c r="G453" s="52">
        <f>ROUND($C$16*Table5[[#This Row],[Hours]],2)</f>
        <v>0</v>
      </c>
      <c r="H453" s="47"/>
      <c r="I453" s="51"/>
      <c r="J453" s="50"/>
      <c r="K453" s="49"/>
      <c r="L453" s="48" t="str">
        <f>IF(AND(LEN(K453)&gt;0,D453="APPROVED"),VLOOKUP(Table5[[#This Row],[COMPLETION %]],COMPL_STATUS,2,1),"")</f>
        <v/>
      </c>
      <c r="M453" s="47"/>
      <c r="N453" s="47"/>
      <c r="O453" s="46"/>
    </row>
    <row r="454" spans="3:15" s="55" customFormat="1" ht="15">
      <c r="C454" s="54"/>
      <c r="D454" s="54"/>
      <c r="E454" s="53"/>
      <c r="F454" s="53"/>
      <c r="G454" s="52">
        <f>ROUND($C$16*Table5[[#This Row],[Hours]],2)</f>
        <v>0</v>
      </c>
      <c r="H454" s="47"/>
      <c r="I454" s="51"/>
      <c r="J454" s="50"/>
      <c r="K454" s="49"/>
      <c r="L454" s="48" t="str">
        <f>IF(AND(LEN(K454)&gt;0,D454="APPROVED"),VLOOKUP(Table5[[#This Row],[COMPLETION %]],COMPL_STATUS,2,1),"")</f>
        <v/>
      </c>
      <c r="M454" s="47"/>
      <c r="N454" s="47"/>
      <c r="O454" s="46"/>
    </row>
    <row r="455" spans="3:15" s="55" customFormat="1" ht="15">
      <c r="C455" s="54"/>
      <c r="D455" s="54"/>
      <c r="E455" s="53"/>
      <c r="F455" s="53"/>
      <c r="G455" s="52">
        <f>ROUND($C$16*Table5[[#This Row],[Hours]],2)</f>
        <v>0</v>
      </c>
      <c r="H455" s="47"/>
      <c r="I455" s="51"/>
      <c r="J455" s="50"/>
      <c r="K455" s="49"/>
      <c r="L455" s="48" t="str">
        <f>IF(AND(LEN(K455)&gt;0,D455="APPROVED"),VLOOKUP(Table5[[#This Row],[COMPLETION %]],COMPL_STATUS,2,1),"")</f>
        <v/>
      </c>
      <c r="M455" s="47"/>
      <c r="N455" s="47"/>
      <c r="O455" s="46"/>
    </row>
    <row r="456" spans="3:15" s="55" customFormat="1" ht="15">
      <c r="C456" s="54"/>
      <c r="D456" s="54"/>
      <c r="E456" s="53"/>
      <c r="F456" s="53"/>
      <c r="G456" s="52">
        <f>ROUND($C$16*Table5[[#This Row],[Hours]],2)</f>
        <v>0</v>
      </c>
      <c r="H456" s="47"/>
      <c r="I456" s="51"/>
      <c r="J456" s="50"/>
      <c r="K456" s="49"/>
      <c r="L456" s="48" t="str">
        <f>IF(AND(LEN(K456)&gt;0,D456="APPROVED"),VLOOKUP(Table5[[#This Row],[COMPLETION %]],COMPL_STATUS,2,1),"")</f>
        <v/>
      </c>
      <c r="M456" s="47"/>
      <c r="N456" s="47"/>
      <c r="O456" s="46"/>
    </row>
    <row r="457" spans="3:15" s="55" customFormat="1" ht="15">
      <c r="C457" s="54"/>
      <c r="D457" s="54"/>
      <c r="E457" s="53"/>
      <c r="F457" s="53"/>
      <c r="G457" s="52">
        <f>ROUND($C$16*Table5[[#This Row],[Hours]],2)</f>
        <v>0</v>
      </c>
      <c r="H457" s="47"/>
      <c r="I457" s="51"/>
      <c r="J457" s="50"/>
      <c r="K457" s="49"/>
      <c r="L457" s="48" t="str">
        <f>IF(AND(LEN(K457)&gt;0,D457="APPROVED"),VLOOKUP(Table5[[#This Row],[COMPLETION %]],COMPL_STATUS,2,1),"")</f>
        <v/>
      </c>
      <c r="M457" s="47"/>
      <c r="N457" s="47"/>
      <c r="O457" s="46"/>
    </row>
    <row r="458" spans="3:15" s="55" customFormat="1" ht="15">
      <c r="C458" s="54"/>
      <c r="D458" s="54"/>
      <c r="E458" s="53"/>
      <c r="F458" s="53"/>
      <c r="G458" s="52">
        <f>ROUND($C$16*Table5[[#This Row],[Hours]],2)</f>
        <v>0</v>
      </c>
      <c r="H458" s="47"/>
      <c r="I458" s="51"/>
      <c r="J458" s="50"/>
      <c r="K458" s="49"/>
      <c r="L458" s="48" t="str">
        <f>IF(AND(LEN(K458)&gt;0,D458="APPROVED"),VLOOKUP(Table5[[#This Row],[COMPLETION %]],COMPL_STATUS,2,1),"")</f>
        <v/>
      </c>
      <c r="M458" s="47"/>
      <c r="N458" s="47"/>
      <c r="O458" s="46"/>
    </row>
    <row r="459" spans="3:15" s="55" customFormat="1" ht="15">
      <c r="C459" s="54"/>
      <c r="D459" s="54"/>
      <c r="E459" s="53"/>
      <c r="F459" s="53"/>
      <c r="G459" s="52">
        <f>ROUND($C$16*Table5[[#This Row],[Hours]],2)</f>
        <v>0</v>
      </c>
      <c r="H459" s="47"/>
      <c r="I459" s="51"/>
      <c r="J459" s="50"/>
      <c r="K459" s="49"/>
      <c r="L459" s="48" t="str">
        <f>IF(AND(LEN(K459)&gt;0,D459="APPROVED"),VLOOKUP(Table5[[#This Row],[COMPLETION %]],COMPL_STATUS,2,1),"")</f>
        <v/>
      </c>
      <c r="M459" s="47"/>
      <c r="N459" s="47"/>
      <c r="O459" s="46"/>
    </row>
    <row r="460" spans="3:15" s="55" customFormat="1" ht="15">
      <c r="C460" s="54"/>
      <c r="D460" s="54"/>
      <c r="E460" s="53"/>
      <c r="F460" s="53"/>
      <c r="G460" s="52">
        <f>ROUND($C$16*Table5[[#This Row],[Hours]],2)</f>
        <v>0</v>
      </c>
      <c r="H460" s="47"/>
      <c r="I460" s="51"/>
      <c r="J460" s="50"/>
      <c r="K460" s="49"/>
      <c r="L460" s="48" t="str">
        <f>IF(AND(LEN(K460)&gt;0,D460="APPROVED"),VLOOKUP(Table5[[#This Row],[COMPLETION %]],COMPL_STATUS,2,1),"")</f>
        <v/>
      </c>
      <c r="M460" s="47"/>
      <c r="N460" s="47"/>
      <c r="O460" s="46"/>
    </row>
    <row r="461" spans="3:15" s="55" customFormat="1" ht="15">
      <c r="C461" s="54"/>
      <c r="D461" s="54"/>
      <c r="E461" s="53"/>
      <c r="F461" s="53"/>
      <c r="G461" s="52">
        <f>ROUND($C$16*Table5[[#This Row],[Hours]],2)</f>
        <v>0</v>
      </c>
      <c r="H461" s="47"/>
      <c r="I461" s="51"/>
      <c r="J461" s="50"/>
      <c r="K461" s="49"/>
      <c r="L461" s="48" t="str">
        <f>IF(AND(LEN(K461)&gt;0,D461="APPROVED"),VLOOKUP(Table5[[#This Row],[COMPLETION %]],COMPL_STATUS,2,1),"")</f>
        <v/>
      </c>
      <c r="M461" s="47"/>
      <c r="N461" s="47"/>
      <c r="O461" s="46"/>
    </row>
    <row r="462" spans="3:15" s="55" customFormat="1" ht="15">
      <c r="C462" s="54"/>
      <c r="D462" s="54"/>
      <c r="E462" s="53"/>
      <c r="F462" s="53"/>
      <c r="G462" s="52">
        <f>ROUND($C$16*Table5[[#This Row],[Hours]],2)</f>
        <v>0</v>
      </c>
      <c r="H462" s="47"/>
      <c r="I462" s="51"/>
      <c r="J462" s="50"/>
      <c r="K462" s="49"/>
      <c r="L462" s="48" t="str">
        <f>IF(AND(LEN(K462)&gt;0,D462="APPROVED"),VLOOKUP(Table5[[#This Row],[COMPLETION %]],COMPL_STATUS,2,1),"")</f>
        <v/>
      </c>
      <c r="M462" s="47"/>
      <c r="N462" s="47"/>
      <c r="O462" s="46"/>
    </row>
    <row r="463" spans="3:15" s="55" customFormat="1" ht="15">
      <c r="C463" s="54"/>
      <c r="D463" s="54"/>
      <c r="E463" s="53"/>
      <c r="F463" s="53"/>
      <c r="G463" s="52">
        <f>ROUND($C$16*Table5[[#This Row],[Hours]],2)</f>
        <v>0</v>
      </c>
      <c r="H463" s="47"/>
      <c r="I463" s="51"/>
      <c r="J463" s="50"/>
      <c r="K463" s="49"/>
      <c r="L463" s="48" t="str">
        <f>IF(AND(LEN(K463)&gt;0,D463="APPROVED"),VLOOKUP(Table5[[#This Row],[COMPLETION %]],COMPL_STATUS,2,1),"")</f>
        <v/>
      </c>
      <c r="M463" s="47"/>
      <c r="N463" s="47"/>
      <c r="O463" s="46"/>
    </row>
    <row r="464" spans="3:15" s="55" customFormat="1" ht="15">
      <c r="C464" s="54"/>
      <c r="D464" s="54"/>
      <c r="E464" s="53"/>
      <c r="F464" s="53"/>
      <c r="G464" s="52">
        <f>ROUND($C$16*Table5[[#This Row],[Hours]],2)</f>
        <v>0</v>
      </c>
      <c r="H464" s="47"/>
      <c r="I464" s="51"/>
      <c r="J464" s="50"/>
      <c r="K464" s="49"/>
      <c r="L464" s="48" t="str">
        <f>IF(AND(LEN(K464)&gt;0,D464="APPROVED"),VLOOKUP(Table5[[#This Row],[COMPLETION %]],COMPL_STATUS,2,1),"")</f>
        <v/>
      </c>
      <c r="M464" s="47"/>
      <c r="N464" s="47"/>
      <c r="O464" s="46"/>
    </row>
    <row r="465" spans="3:15" s="55" customFormat="1" ht="15">
      <c r="C465" s="54"/>
      <c r="D465" s="54"/>
      <c r="E465" s="53"/>
      <c r="F465" s="53"/>
      <c r="G465" s="52">
        <f>ROUND($C$16*Table5[[#This Row],[Hours]],2)</f>
        <v>0</v>
      </c>
      <c r="H465" s="47"/>
      <c r="I465" s="51"/>
      <c r="J465" s="50"/>
      <c r="K465" s="49"/>
      <c r="L465" s="48" t="str">
        <f>IF(AND(LEN(K465)&gt;0,D465="APPROVED"),VLOOKUP(Table5[[#This Row],[COMPLETION %]],COMPL_STATUS,2,1),"")</f>
        <v/>
      </c>
      <c r="M465" s="47"/>
      <c r="N465" s="47"/>
      <c r="O465" s="46"/>
    </row>
    <row r="466" spans="3:15" s="55" customFormat="1" ht="15">
      <c r="C466" s="54"/>
      <c r="D466" s="54"/>
      <c r="E466" s="53"/>
      <c r="F466" s="53"/>
      <c r="G466" s="52">
        <f>ROUND($C$16*Table5[[#This Row],[Hours]],2)</f>
        <v>0</v>
      </c>
      <c r="H466" s="47"/>
      <c r="I466" s="51"/>
      <c r="J466" s="50"/>
      <c r="K466" s="49"/>
      <c r="L466" s="48" t="str">
        <f>IF(AND(LEN(K466)&gt;0,D466="APPROVED"),VLOOKUP(Table5[[#This Row],[COMPLETION %]],COMPL_STATUS,2,1),"")</f>
        <v/>
      </c>
      <c r="M466" s="47"/>
      <c r="N466" s="47"/>
      <c r="O466" s="46"/>
    </row>
    <row r="467" spans="3:15" s="55" customFormat="1" ht="15">
      <c r="C467" s="54"/>
      <c r="D467" s="54"/>
      <c r="E467" s="53"/>
      <c r="F467" s="53"/>
      <c r="G467" s="52">
        <f>ROUND($C$16*Table5[[#This Row],[Hours]],2)</f>
        <v>0</v>
      </c>
      <c r="H467" s="47"/>
      <c r="I467" s="51"/>
      <c r="J467" s="50"/>
      <c r="K467" s="49"/>
      <c r="L467" s="48" t="str">
        <f>IF(AND(LEN(K467)&gt;0,D467="APPROVED"),VLOOKUP(Table5[[#This Row],[COMPLETION %]],COMPL_STATUS,2,1),"")</f>
        <v/>
      </c>
      <c r="M467" s="47"/>
      <c r="N467" s="47"/>
      <c r="O467" s="46"/>
    </row>
    <row r="468" spans="3:15" s="55" customFormat="1" ht="15">
      <c r="C468" s="54"/>
      <c r="D468" s="54"/>
      <c r="E468" s="53"/>
      <c r="F468" s="53"/>
      <c r="G468" s="52">
        <f>ROUND($C$16*Table5[[#This Row],[Hours]],2)</f>
        <v>0</v>
      </c>
      <c r="H468" s="47"/>
      <c r="I468" s="51"/>
      <c r="J468" s="50"/>
      <c r="K468" s="49"/>
      <c r="L468" s="48" t="str">
        <f>IF(AND(LEN(K468)&gt;0,D468="APPROVED"),VLOOKUP(Table5[[#This Row],[COMPLETION %]],COMPL_STATUS,2,1),"")</f>
        <v/>
      </c>
      <c r="M468" s="47"/>
      <c r="N468" s="47"/>
      <c r="O468" s="46"/>
    </row>
    <row r="469" spans="3:15" s="55" customFormat="1" ht="15">
      <c r="C469" s="54"/>
      <c r="D469" s="54"/>
      <c r="E469" s="53"/>
      <c r="F469" s="53"/>
      <c r="G469" s="52">
        <f>ROUND($C$16*Table5[[#This Row],[Hours]],2)</f>
        <v>0</v>
      </c>
      <c r="H469" s="47"/>
      <c r="I469" s="51"/>
      <c r="J469" s="50"/>
      <c r="K469" s="49"/>
      <c r="L469" s="48" t="str">
        <f>IF(AND(LEN(K469)&gt;0,D469="APPROVED"),VLOOKUP(Table5[[#This Row],[COMPLETION %]],COMPL_STATUS,2,1),"")</f>
        <v/>
      </c>
      <c r="M469" s="47"/>
      <c r="N469" s="47"/>
      <c r="O469" s="46"/>
    </row>
    <row r="470" spans="3:15" s="55" customFormat="1" ht="15">
      <c r="C470" s="54"/>
      <c r="D470" s="54"/>
      <c r="E470" s="53"/>
      <c r="F470" s="53"/>
      <c r="G470" s="52">
        <f>ROUND($C$16*Table5[[#This Row],[Hours]],2)</f>
        <v>0</v>
      </c>
      <c r="H470" s="47"/>
      <c r="I470" s="51"/>
      <c r="J470" s="50"/>
      <c r="K470" s="49"/>
      <c r="L470" s="48" t="str">
        <f>IF(AND(LEN(K470)&gt;0,D470="APPROVED"),VLOOKUP(Table5[[#This Row],[COMPLETION %]],COMPL_STATUS,2,1),"")</f>
        <v/>
      </c>
      <c r="M470" s="47"/>
      <c r="N470" s="47"/>
      <c r="O470" s="46"/>
    </row>
    <row r="471" spans="3:15" s="55" customFormat="1" ht="15">
      <c r="C471" s="54"/>
      <c r="D471" s="54"/>
      <c r="E471" s="53"/>
      <c r="F471" s="53"/>
      <c r="G471" s="52">
        <f>ROUND($C$16*Table5[[#This Row],[Hours]],2)</f>
        <v>0</v>
      </c>
      <c r="H471" s="47"/>
      <c r="I471" s="51"/>
      <c r="J471" s="50"/>
      <c r="K471" s="49"/>
      <c r="L471" s="48" t="str">
        <f>IF(AND(LEN(K471)&gt;0,D471="APPROVED"),VLOOKUP(Table5[[#This Row],[COMPLETION %]],COMPL_STATUS,2,1),"")</f>
        <v/>
      </c>
      <c r="M471" s="47"/>
      <c r="N471" s="47"/>
      <c r="O471" s="46"/>
    </row>
    <row r="472" spans="3:15" s="55" customFormat="1" ht="15">
      <c r="C472" s="54"/>
      <c r="D472" s="54"/>
      <c r="E472" s="53"/>
      <c r="F472" s="53"/>
      <c r="G472" s="52">
        <f>ROUND($C$16*Table5[[#This Row],[Hours]],2)</f>
        <v>0</v>
      </c>
      <c r="H472" s="47"/>
      <c r="I472" s="51"/>
      <c r="J472" s="50"/>
      <c r="K472" s="49"/>
      <c r="L472" s="48" t="str">
        <f>IF(AND(LEN(K472)&gt;0,D472="APPROVED"),VLOOKUP(Table5[[#This Row],[COMPLETION %]],COMPL_STATUS,2,1),"")</f>
        <v/>
      </c>
      <c r="M472" s="47"/>
      <c r="N472" s="47"/>
      <c r="O472" s="46"/>
    </row>
    <row r="473" spans="3:15" s="55" customFormat="1" ht="15">
      <c r="C473" s="54"/>
      <c r="D473" s="54"/>
      <c r="E473" s="53"/>
      <c r="F473" s="53"/>
      <c r="G473" s="52">
        <f>ROUND($C$16*Table5[[#This Row],[Hours]],2)</f>
        <v>0</v>
      </c>
      <c r="H473" s="47"/>
      <c r="I473" s="51"/>
      <c r="J473" s="50"/>
      <c r="K473" s="49"/>
      <c r="L473" s="48" t="str">
        <f>IF(AND(LEN(K473)&gt;0,D473="APPROVED"),VLOOKUP(Table5[[#This Row],[COMPLETION %]],COMPL_STATUS,2,1),"")</f>
        <v/>
      </c>
      <c r="M473" s="47"/>
      <c r="N473" s="47"/>
      <c r="O473" s="46"/>
    </row>
    <row r="474" spans="3:15" s="55" customFormat="1" ht="15">
      <c r="C474" s="54"/>
      <c r="D474" s="54"/>
      <c r="E474" s="53"/>
      <c r="F474" s="53"/>
      <c r="G474" s="52">
        <f>ROUND($C$16*Table5[[#This Row],[Hours]],2)</f>
        <v>0</v>
      </c>
      <c r="H474" s="47"/>
      <c r="I474" s="51"/>
      <c r="J474" s="50"/>
      <c r="K474" s="49"/>
      <c r="L474" s="48" t="str">
        <f>IF(AND(LEN(K474)&gt;0,D474="APPROVED"),VLOOKUP(Table5[[#This Row],[COMPLETION %]],COMPL_STATUS,2,1),"")</f>
        <v/>
      </c>
      <c r="M474" s="47"/>
      <c r="N474" s="47"/>
      <c r="O474" s="46"/>
    </row>
    <row r="475" spans="3:15" s="55" customFormat="1" ht="15">
      <c r="C475" s="54"/>
      <c r="D475" s="54"/>
      <c r="E475" s="53"/>
      <c r="F475" s="53"/>
      <c r="G475" s="52">
        <f>ROUND($C$16*Table5[[#This Row],[Hours]],2)</f>
        <v>0</v>
      </c>
      <c r="H475" s="47"/>
      <c r="I475" s="51"/>
      <c r="J475" s="50"/>
      <c r="K475" s="49"/>
      <c r="L475" s="48" t="str">
        <f>IF(AND(LEN(K475)&gt;0,D475="APPROVED"),VLOOKUP(Table5[[#This Row],[COMPLETION %]],COMPL_STATUS,2,1),"")</f>
        <v/>
      </c>
      <c r="M475" s="47"/>
      <c r="N475" s="47"/>
      <c r="O475" s="46"/>
    </row>
    <row r="476" spans="3:15" s="55" customFormat="1" ht="15">
      <c r="C476" s="54"/>
      <c r="D476" s="54"/>
      <c r="E476" s="53"/>
      <c r="F476" s="53"/>
      <c r="G476" s="52">
        <f>ROUND($C$16*Table5[[#This Row],[Hours]],2)</f>
        <v>0</v>
      </c>
      <c r="H476" s="47"/>
      <c r="I476" s="51"/>
      <c r="J476" s="50"/>
      <c r="K476" s="49"/>
      <c r="L476" s="48" t="str">
        <f>IF(AND(LEN(K476)&gt;0,D476="APPROVED"),VLOOKUP(Table5[[#This Row],[COMPLETION %]],COMPL_STATUS,2,1),"")</f>
        <v/>
      </c>
      <c r="M476" s="47"/>
      <c r="N476" s="47"/>
      <c r="O476" s="46"/>
    </row>
    <row r="477" spans="3:15" s="55" customFormat="1" ht="15">
      <c r="C477" s="54"/>
      <c r="D477" s="54"/>
      <c r="E477" s="53"/>
      <c r="F477" s="53"/>
      <c r="G477" s="52">
        <f>ROUND($C$16*Table5[[#This Row],[Hours]],2)</f>
        <v>0</v>
      </c>
      <c r="H477" s="47"/>
      <c r="I477" s="51"/>
      <c r="J477" s="50"/>
      <c r="K477" s="49"/>
      <c r="L477" s="48" t="str">
        <f>IF(AND(LEN(K477)&gt;0,D477="APPROVED"),VLOOKUP(Table5[[#This Row],[COMPLETION %]],COMPL_STATUS,2,1),"")</f>
        <v/>
      </c>
      <c r="M477" s="47"/>
      <c r="N477" s="47"/>
      <c r="O477" s="46"/>
    </row>
    <row r="478" spans="3:15" s="55" customFormat="1" ht="15">
      <c r="C478" s="54"/>
      <c r="D478" s="54"/>
      <c r="E478" s="53"/>
      <c r="F478" s="53"/>
      <c r="G478" s="52">
        <f>ROUND($C$16*Table5[[#This Row],[Hours]],2)</f>
        <v>0</v>
      </c>
      <c r="H478" s="47"/>
      <c r="I478" s="51"/>
      <c r="J478" s="50"/>
      <c r="K478" s="49"/>
      <c r="L478" s="48" t="str">
        <f>IF(AND(LEN(K478)&gt;0,D478="APPROVED"),VLOOKUP(Table5[[#This Row],[COMPLETION %]],COMPL_STATUS,2,1),"")</f>
        <v/>
      </c>
      <c r="M478" s="47"/>
      <c r="N478" s="47"/>
      <c r="O478" s="46"/>
    </row>
    <row r="479" spans="3:15" s="55" customFormat="1" ht="15">
      <c r="C479" s="54"/>
      <c r="D479" s="54"/>
      <c r="E479" s="53"/>
      <c r="F479" s="53"/>
      <c r="G479" s="52">
        <f>ROUND($C$16*Table5[[#This Row],[Hours]],2)</f>
        <v>0</v>
      </c>
      <c r="H479" s="47"/>
      <c r="I479" s="51"/>
      <c r="J479" s="50"/>
      <c r="K479" s="49"/>
      <c r="L479" s="48" t="str">
        <f>IF(AND(LEN(K479)&gt;0,D479="APPROVED"),VLOOKUP(Table5[[#This Row],[COMPLETION %]],COMPL_STATUS,2,1),"")</f>
        <v/>
      </c>
      <c r="M479" s="47"/>
      <c r="N479" s="47"/>
      <c r="O479" s="46"/>
    </row>
    <row r="480" spans="3:15" s="55" customFormat="1" ht="15">
      <c r="C480" s="54"/>
      <c r="D480" s="54"/>
      <c r="E480" s="53"/>
      <c r="F480" s="53"/>
      <c r="G480" s="52">
        <f>ROUND($C$16*Table5[[#This Row],[Hours]],2)</f>
        <v>0</v>
      </c>
      <c r="H480" s="47"/>
      <c r="I480" s="51"/>
      <c r="J480" s="50"/>
      <c r="K480" s="49"/>
      <c r="L480" s="48" t="str">
        <f>IF(AND(LEN(K480)&gt;0,D480="APPROVED"),VLOOKUP(Table5[[#This Row],[COMPLETION %]],COMPL_STATUS,2,1),"")</f>
        <v/>
      </c>
      <c r="M480" s="47"/>
      <c r="N480" s="47"/>
      <c r="O480" s="46"/>
    </row>
    <row r="481" spans="3:15" s="55" customFormat="1" ht="15">
      <c r="C481" s="54"/>
      <c r="D481" s="54"/>
      <c r="E481" s="53"/>
      <c r="F481" s="53"/>
      <c r="G481" s="52">
        <f>ROUND($C$16*Table5[[#This Row],[Hours]],2)</f>
        <v>0</v>
      </c>
      <c r="H481" s="47"/>
      <c r="I481" s="51"/>
      <c r="J481" s="50"/>
      <c r="K481" s="49"/>
      <c r="L481" s="48" t="str">
        <f>IF(AND(LEN(K481)&gt;0,D481="APPROVED"),VLOOKUP(Table5[[#This Row],[COMPLETION %]],COMPL_STATUS,2,1),"")</f>
        <v/>
      </c>
      <c r="M481" s="47"/>
      <c r="N481" s="47"/>
      <c r="O481" s="46"/>
    </row>
    <row r="482" spans="3:15" s="55" customFormat="1" ht="15">
      <c r="C482" s="54"/>
      <c r="D482" s="54"/>
      <c r="E482" s="53"/>
      <c r="F482" s="53"/>
      <c r="G482" s="52">
        <f>ROUND($C$16*Table5[[#This Row],[Hours]],2)</f>
        <v>0</v>
      </c>
      <c r="H482" s="47"/>
      <c r="I482" s="51"/>
      <c r="J482" s="50"/>
      <c r="K482" s="49"/>
      <c r="L482" s="48" t="str">
        <f>IF(AND(LEN(K482)&gt;0,D482="APPROVED"),VLOOKUP(Table5[[#This Row],[COMPLETION %]],COMPL_STATUS,2,1),"")</f>
        <v/>
      </c>
      <c r="M482" s="47"/>
      <c r="N482" s="47"/>
      <c r="O482" s="46"/>
    </row>
    <row r="483" spans="3:15" s="55" customFormat="1" ht="15">
      <c r="C483" s="54"/>
      <c r="D483" s="54"/>
      <c r="E483" s="53"/>
      <c r="F483" s="53"/>
      <c r="G483" s="52">
        <f>ROUND($C$16*Table5[[#This Row],[Hours]],2)</f>
        <v>0</v>
      </c>
      <c r="H483" s="47"/>
      <c r="I483" s="51"/>
      <c r="J483" s="50"/>
      <c r="K483" s="49"/>
      <c r="L483" s="48" t="str">
        <f>IF(AND(LEN(K483)&gt;0,D483="APPROVED"),VLOOKUP(Table5[[#This Row],[COMPLETION %]],COMPL_STATUS,2,1),"")</f>
        <v/>
      </c>
      <c r="M483" s="47"/>
      <c r="N483" s="47"/>
      <c r="O483" s="46"/>
    </row>
    <row r="484" spans="3:15" s="55" customFormat="1" ht="15">
      <c r="C484" s="54"/>
      <c r="D484" s="54"/>
      <c r="E484" s="53"/>
      <c r="F484" s="53"/>
      <c r="G484" s="52">
        <f>ROUND($C$16*Table5[[#This Row],[Hours]],2)</f>
        <v>0</v>
      </c>
      <c r="H484" s="47"/>
      <c r="I484" s="51"/>
      <c r="J484" s="50"/>
      <c r="K484" s="49"/>
      <c r="L484" s="48" t="str">
        <f>IF(AND(LEN(K484)&gt;0,D484="APPROVED"),VLOOKUP(Table5[[#This Row],[COMPLETION %]],COMPL_STATUS,2,1),"")</f>
        <v/>
      </c>
      <c r="M484" s="47"/>
      <c r="N484" s="47"/>
      <c r="O484" s="46"/>
    </row>
    <row r="485" spans="3:15" s="55" customFormat="1" ht="15">
      <c r="C485" s="54"/>
      <c r="D485" s="54"/>
      <c r="E485" s="53"/>
      <c r="F485" s="53"/>
      <c r="G485" s="52">
        <f>ROUND($C$16*Table5[[#This Row],[Hours]],2)</f>
        <v>0</v>
      </c>
      <c r="H485" s="47"/>
      <c r="I485" s="51"/>
      <c r="J485" s="50"/>
      <c r="K485" s="49"/>
      <c r="L485" s="48" t="str">
        <f>IF(AND(LEN(K485)&gt;0,D485="APPROVED"),VLOOKUP(Table5[[#This Row],[COMPLETION %]],COMPL_STATUS,2,1),"")</f>
        <v/>
      </c>
      <c r="M485" s="47"/>
      <c r="N485" s="47"/>
      <c r="O485" s="46"/>
    </row>
    <row r="486" spans="3:15" s="55" customFormat="1" ht="15">
      <c r="C486" s="54"/>
      <c r="D486" s="54"/>
      <c r="E486" s="53"/>
      <c r="F486" s="53"/>
      <c r="G486" s="52">
        <f>ROUND($C$16*Table5[[#This Row],[Hours]],2)</f>
        <v>0</v>
      </c>
      <c r="H486" s="47"/>
      <c r="I486" s="51"/>
      <c r="J486" s="50"/>
      <c r="K486" s="49"/>
      <c r="L486" s="48" t="str">
        <f>IF(AND(LEN(K486)&gt;0,D486="APPROVED"),VLOOKUP(Table5[[#This Row],[COMPLETION %]],COMPL_STATUS,2,1),"")</f>
        <v/>
      </c>
      <c r="M486" s="47"/>
      <c r="N486" s="47"/>
      <c r="O486" s="46"/>
    </row>
    <row r="487" spans="3:15" s="55" customFormat="1" ht="15">
      <c r="C487" s="54"/>
      <c r="D487" s="54"/>
      <c r="E487" s="53"/>
      <c r="F487" s="53"/>
      <c r="G487" s="52">
        <f>ROUND($C$16*Table5[[#This Row],[Hours]],2)</f>
        <v>0</v>
      </c>
      <c r="H487" s="47"/>
      <c r="I487" s="51"/>
      <c r="J487" s="50"/>
      <c r="K487" s="49"/>
      <c r="L487" s="48" t="str">
        <f>IF(AND(LEN(K487)&gt;0,D487="APPROVED"),VLOOKUP(Table5[[#This Row],[COMPLETION %]],COMPL_STATUS,2,1),"")</f>
        <v/>
      </c>
      <c r="M487" s="47"/>
      <c r="N487" s="47"/>
      <c r="O487" s="46"/>
    </row>
    <row r="488" spans="3:15" s="55" customFormat="1" ht="15">
      <c r="C488" s="54"/>
      <c r="D488" s="54"/>
      <c r="E488" s="53"/>
      <c r="F488" s="53"/>
      <c r="G488" s="52">
        <f>ROUND($C$16*Table5[[#This Row],[Hours]],2)</f>
        <v>0</v>
      </c>
      <c r="H488" s="47"/>
      <c r="I488" s="51"/>
      <c r="J488" s="50"/>
      <c r="K488" s="49"/>
      <c r="L488" s="48" t="str">
        <f>IF(AND(LEN(K488)&gt;0,D488="APPROVED"),VLOOKUP(Table5[[#This Row],[COMPLETION %]],COMPL_STATUS,2,1),"")</f>
        <v/>
      </c>
      <c r="M488" s="47"/>
      <c r="N488" s="47"/>
      <c r="O488" s="46"/>
    </row>
    <row r="489" spans="3:15" s="55" customFormat="1" ht="15">
      <c r="C489" s="54"/>
      <c r="D489" s="54"/>
      <c r="E489" s="53"/>
      <c r="F489" s="53"/>
      <c r="G489" s="52">
        <f>ROUND($C$16*Table5[[#This Row],[Hours]],2)</f>
        <v>0</v>
      </c>
      <c r="H489" s="47"/>
      <c r="I489" s="51"/>
      <c r="J489" s="50"/>
      <c r="K489" s="49"/>
      <c r="L489" s="48" t="str">
        <f>IF(AND(LEN(K489)&gt;0,D489="APPROVED"),VLOOKUP(Table5[[#This Row],[COMPLETION %]],COMPL_STATUS,2,1),"")</f>
        <v/>
      </c>
      <c r="M489" s="47"/>
      <c r="N489" s="47"/>
      <c r="O489" s="46"/>
    </row>
    <row r="490" spans="3:15" s="55" customFormat="1" ht="15">
      <c r="C490" s="54"/>
      <c r="D490" s="54"/>
      <c r="E490" s="53"/>
      <c r="F490" s="53"/>
      <c r="G490" s="52">
        <f>ROUND($C$16*Table5[[#This Row],[Hours]],2)</f>
        <v>0</v>
      </c>
      <c r="H490" s="47"/>
      <c r="I490" s="51"/>
      <c r="J490" s="50"/>
      <c r="K490" s="49"/>
      <c r="L490" s="48" t="str">
        <f>IF(AND(LEN(K490)&gt;0,D490="APPROVED"),VLOOKUP(Table5[[#This Row],[COMPLETION %]],COMPL_STATUS,2,1),"")</f>
        <v/>
      </c>
      <c r="M490" s="47"/>
      <c r="N490" s="47"/>
      <c r="O490" s="46"/>
    </row>
    <row r="491" spans="3:15" s="55" customFormat="1" ht="15">
      <c r="C491" s="54"/>
      <c r="D491" s="54"/>
      <c r="E491" s="53"/>
      <c r="F491" s="53"/>
      <c r="G491" s="52">
        <f>ROUND($C$16*Table5[[#This Row],[Hours]],2)</f>
        <v>0</v>
      </c>
      <c r="H491" s="47"/>
      <c r="I491" s="51"/>
      <c r="J491" s="50"/>
      <c r="K491" s="49"/>
      <c r="L491" s="48" t="str">
        <f>IF(AND(LEN(K491)&gt;0,D491="APPROVED"),VLOOKUP(Table5[[#This Row],[COMPLETION %]],COMPL_STATUS,2,1),"")</f>
        <v/>
      </c>
      <c r="M491" s="47"/>
      <c r="N491" s="47"/>
      <c r="O491" s="46"/>
    </row>
    <row r="492" spans="3:15" s="55" customFormat="1" ht="15">
      <c r="C492" s="54"/>
      <c r="D492" s="54"/>
      <c r="E492" s="53"/>
      <c r="F492" s="53"/>
      <c r="G492" s="52">
        <f>ROUND($C$16*Table5[[#This Row],[Hours]],2)</f>
        <v>0</v>
      </c>
      <c r="H492" s="47"/>
      <c r="I492" s="51"/>
      <c r="J492" s="50"/>
      <c r="K492" s="49"/>
      <c r="L492" s="48" t="str">
        <f>IF(AND(LEN(K492)&gt;0,D492="APPROVED"),VLOOKUP(Table5[[#This Row],[COMPLETION %]],COMPL_STATUS,2,1),"")</f>
        <v/>
      </c>
      <c r="M492" s="47"/>
      <c r="N492" s="47"/>
      <c r="O492" s="46"/>
    </row>
    <row r="493" spans="3:15" s="55" customFormat="1" ht="15">
      <c r="C493" s="54"/>
      <c r="D493" s="54"/>
      <c r="E493" s="53"/>
      <c r="F493" s="53"/>
      <c r="G493" s="52">
        <f>ROUND($C$16*Table5[[#This Row],[Hours]],2)</f>
        <v>0</v>
      </c>
      <c r="H493" s="47"/>
      <c r="I493" s="51"/>
      <c r="J493" s="50"/>
      <c r="K493" s="49"/>
      <c r="L493" s="48" t="str">
        <f>IF(AND(LEN(K493)&gt;0,D493="APPROVED"),VLOOKUP(Table5[[#This Row],[COMPLETION %]],COMPL_STATUS,2,1),"")</f>
        <v/>
      </c>
      <c r="M493" s="47"/>
      <c r="N493" s="47"/>
      <c r="O493" s="46"/>
    </row>
    <row r="494" spans="3:15" s="55" customFormat="1" ht="15">
      <c r="C494" s="54"/>
      <c r="D494" s="54"/>
      <c r="E494" s="53"/>
      <c r="F494" s="53"/>
      <c r="G494" s="52">
        <f>ROUND($C$16*Table5[[#This Row],[Hours]],2)</f>
        <v>0</v>
      </c>
      <c r="H494" s="47"/>
      <c r="I494" s="51"/>
      <c r="J494" s="50"/>
      <c r="K494" s="49"/>
      <c r="L494" s="48" t="str">
        <f>IF(AND(LEN(K494)&gt;0,D494="APPROVED"),VLOOKUP(Table5[[#This Row],[COMPLETION %]],COMPL_STATUS,2,1),"")</f>
        <v/>
      </c>
      <c r="M494" s="47"/>
      <c r="N494" s="47"/>
      <c r="O494" s="46"/>
    </row>
    <row r="495" spans="3:15" s="55" customFormat="1" ht="15">
      <c r="C495" s="54"/>
      <c r="D495" s="54"/>
      <c r="E495" s="53"/>
      <c r="F495" s="53"/>
      <c r="G495" s="52">
        <f>ROUND($C$16*Table5[[#This Row],[Hours]],2)</f>
        <v>0</v>
      </c>
      <c r="H495" s="47"/>
      <c r="I495" s="51"/>
      <c r="J495" s="50"/>
      <c r="K495" s="49"/>
      <c r="L495" s="48" t="str">
        <f>IF(AND(LEN(K495)&gt;0,D495="APPROVED"),VLOOKUP(Table5[[#This Row],[COMPLETION %]],COMPL_STATUS,2,1),"")</f>
        <v/>
      </c>
      <c r="M495" s="47"/>
      <c r="N495" s="47"/>
      <c r="O495" s="46"/>
    </row>
    <row r="496" spans="3:15" s="55" customFormat="1" ht="15">
      <c r="C496" s="54"/>
      <c r="D496" s="54"/>
      <c r="E496" s="53"/>
      <c r="F496" s="53"/>
      <c r="G496" s="52">
        <f>ROUND($C$16*Table5[[#This Row],[Hours]],2)</f>
        <v>0</v>
      </c>
      <c r="H496" s="47"/>
      <c r="I496" s="51"/>
      <c r="J496" s="50"/>
      <c r="K496" s="49"/>
      <c r="L496" s="48" t="str">
        <f>IF(AND(LEN(K496)&gt;0,D496="APPROVED"),VLOOKUP(Table5[[#This Row],[COMPLETION %]],COMPL_STATUS,2,1),"")</f>
        <v/>
      </c>
      <c r="M496" s="47"/>
      <c r="N496" s="47"/>
      <c r="O496" s="46"/>
    </row>
    <row r="497" spans="3:15" s="55" customFormat="1" ht="15">
      <c r="C497" s="54"/>
      <c r="D497" s="54"/>
      <c r="E497" s="53"/>
      <c r="F497" s="53"/>
      <c r="G497" s="52">
        <f>ROUND($C$16*Table5[[#This Row],[Hours]],2)</f>
        <v>0</v>
      </c>
      <c r="H497" s="47"/>
      <c r="I497" s="51"/>
      <c r="J497" s="50"/>
      <c r="K497" s="49"/>
      <c r="L497" s="48" t="str">
        <f>IF(AND(LEN(K497)&gt;0,D497="APPROVED"),VLOOKUP(Table5[[#This Row],[COMPLETION %]],COMPL_STATUS,2,1),"")</f>
        <v/>
      </c>
      <c r="M497" s="47"/>
      <c r="N497" s="47"/>
      <c r="O497" s="46"/>
    </row>
    <row r="498" spans="3:15" s="55" customFormat="1" ht="15">
      <c r="C498" s="54"/>
      <c r="D498" s="54"/>
      <c r="E498" s="53"/>
      <c r="F498" s="53"/>
      <c r="G498" s="52">
        <f>ROUND($C$16*Table5[[#This Row],[Hours]],2)</f>
        <v>0</v>
      </c>
      <c r="H498" s="47"/>
      <c r="I498" s="51"/>
      <c r="J498" s="50"/>
      <c r="K498" s="49"/>
      <c r="L498" s="48" t="str">
        <f>IF(AND(LEN(K498)&gt;0,D498="APPROVED"),VLOOKUP(Table5[[#This Row],[COMPLETION %]],COMPL_STATUS,2,1),"")</f>
        <v/>
      </c>
      <c r="M498" s="47"/>
      <c r="N498" s="47"/>
      <c r="O498" s="46"/>
    </row>
    <row r="499" spans="3:15" s="55" customFormat="1" ht="15">
      <c r="C499" s="54"/>
      <c r="D499" s="54"/>
      <c r="E499" s="53"/>
      <c r="F499" s="53"/>
      <c r="G499" s="52">
        <f>ROUND($C$16*Table5[[#This Row],[Hours]],2)</f>
        <v>0</v>
      </c>
      <c r="H499" s="47"/>
      <c r="I499" s="51"/>
      <c r="J499" s="50"/>
      <c r="K499" s="49"/>
      <c r="L499" s="48" t="str">
        <f>IF(AND(LEN(K499)&gt;0,D499="APPROVED"),VLOOKUP(Table5[[#This Row],[COMPLETION %]],COMPL_STATUS,2,1),"")</f>
        <v/>
      </c>
      <c r="M499" s="47"/>
      <c r="N499" s="47"/>
      <c r="O499" s="46"/>
    </row>
    <row r="500" spans="3:15" s="55" customFormat="1" ht="15">
      <c r="C500" s="54"/>
      <c r="D500" s="54"/>
      <c r="E500" s="53"/>
      <c r="F500" s="53"/>
      <c r="G500" s="52">
        <f>ROUND($C$16*Table5[[#This Row],[Hours]],2)</f>
        <v>0</v>
      </c>
      <c r="H500" s="47"/>
      <c r="I500" s="51"/>
      <c r="J500" s="50"/>
      <c r="K500" s="49"/>
      <c r="L500" s="48" t="str">
        <f>IF(AND(LEN(K500)&gt;0,D500="APPROVED"),VLOOKUP(Table5[[#This Row],[COMPLETION %]],COMPL_STATUS,2,1),"")</f>
        <v/>
      </c>
      <c r="M500" s="47"/>
      <c r="N500" s="47"/>
      <c r="O500" s="46"/>
    </row>
    <row r="501" spans="3:15" s="55" customFormat="1" ht="15">
      <c r="C501" s="54"/>
      <c r="D501" s="54"/>
      <c r="E501" s="53"/>
      <c r="F501" s="53"/>
      <c r="G501" s="52">
        <f>ROUND($C$16*Table5[[#This Row],[Hours]],2)</f>
        <v>0</v>
      </c>
      <c r="H501" s="47"/>
      <c r="I501" s="51"/>
      <c r="J501" s="50"/>
      <c r="K501" s="49"/>
      <c r="L501" s="48" t="str">
        <f>IF(AND(LEN(K501)&gt;0,D501="APPROVED"),VLOOKUP(Table5[[#This Row],[COMPLETION %]],COMPL_STATUS,2,1),"")</f>
        <v/>
      </c>
      <c r="M501" s="47"/>
      <c r="N501" s="47"/>
      <c r="O501" s="46"/>
    </row>
    <row r="502" spans="3:15" s="55" customFormat="1" ht="15">
      <c r="C502" s="54"/>
      <c r="D502" s="54"/>
      <c r="E502" s="53"/>
      <c r="F502" s="53"/>
      <c r="G502" s="52">
        <f>ROUND($C$16*Table5[[#This Row],[Hours]],2)</f>
        <v>0</v>
      </c>
      <c r="H502" s="47"/>
      <c r="I502" s="51"/>
      <c r="J502" s="50"/>
      <c r="K502" s="49"/>
      <c r="L502" s="48" t="str">
        <f>IF(AND(LEN(K502)&gt;0,D502="APPROVED"),VLOOKUP(Table5[[#This Row],[COMPLETION %]],COMPL_STATUS,2,1),"")</f>
        <v/>
      </c>
      <c r="M502" s="47"/>
      <c r="N502" s="47"/>
      <c r="O502" s="46"/>
    </row>
    <row r="503" spans="3:15" s="55" customFormat="1" ht="15">
      <c r="C503" s="54"/>
      <c r="D503" s="54"/>
      <c r="E503" s="53"/>
      <c r="F503" s="53"/>
      <c r="G503" s="52">
        <f>ROUND($C$16*Table5[[#This Row],[Hours]],2)</f>
        <v>0</v>
      </c>
      <c r="H503" s="47"/>
      <c r="I503" s="51"/>
      <c r="J503" s="50"/>
      <c r="K503" s="49"/>
      <c r="L503" s="48" t="str">
        <f>IF(AND(LEN(K503)&gt;0,D503="APPROVED"),VLOOKUP(Table5[[#This Row],[COMPLETION %]],COMPL_STATUS,2,1),"")</f>
        <v/>
      </c>
      <c r="M503" s="47"/>
      <c r="N503" s="47"/>
      <c r="O503" s="46"/>
    </row>
    <row r="504" spans="3:15" s="55" customFormat="1" ht="15">
      <c r="C504" s="54"/>
      <c r="D504" s="54"/>
      <c r="E504" s="53"/>
      <c r="F504" s="53"/>
      <c r="G504" s="52">
        <f>ROUND($C$16*Table5[[#This Row],[Hours]],2)</f>
        <v>0</v>
      </c>
      <c r="H504" s="47"/>
      <c r="I504" s="51"/>
      <c r="J504" s="50"/>
      <c r="K504" s="49"/>
      <c r="L504" s="48" t="str">
        <f>IF(AND(LEN(K504)&gt;0,D504="APPROVED"),VLOOKUP(Table5[[#This Row],[COMPLETION %]],COMPL_STATUS,2,1),"")</f>
        <v/>
      </c>
      <c r="M504" s="47"/>
      <c r="N504" s="47"/>
      <c r="O504" s="46"/>
    </row>
    <row r="505" spans="3:15" s="55" customFormat="1" ht="15">
      <c r="C505" s="54"/>
      <c r="D505" s="54"/>
      <c r="E505" s="53"/>
      <c r="F505" s="53"/>
      <c r="G505" s="52">
        <f>ROUND($C$16*Table5[[#This Row],[Hours]],2)</f>
        <v>0</v>
      </c>
      <c r="H505" s="47"/>
      <c r="I505" s="51"/>
      <c r="J505" s="50"/>
      <c r="K505" s="49"/>
      <c r="L505" s="48" t="str">
        <f>IF(AND(LEN(K505)&gt;0,D505="APPROVED"),VLOOKUP(Table5[[#This Row],[COMPLETION %]],COMPL_STATUS,2,1),"")</f>
        <v/>
      </c>
      <c r="M505" s="47"/>
      <c r="N505" s="47"/>
      <c r="O505" s="46"/>
    </row>
    <row r="506" spans="3:15" s="55" customFormat="1" ht="15">
      <c r="C506" s="54"/>
      <c r="D506" s="54"/>
      <c r="E506" s="53"/>
      <c r="F506" s="53"/>
      <c r="G506" s="52">
        <f>ROUND($C$16*Table5[[#This Row],[Hours]],2)</f>
        <v>0</v>
      </c>
      <c r="H506" s="47"/>
      <c r="I506" s="51"/>
      <c r="J506" s="50"/>
      <c r="K506" s="49"/>
      <c r="L506" s="48" t="str">
        <f>IF(AND(LEN(K506)&gt;0,D506="APPROVED"),VLOOKUP(Table5[[#This Row],[COMPLETION %]],COMPL_STATUS,2,1),"")</f>
        <v/>
      </c>
      <c r="M506" s="47"/>
      <c r="N506" s="47"/>
      <c r="O506" s="46"/>
    </row>
    <row r="507" spans="3:15" s="55" customFormat="1" ht="15">
      <c r="C507" s="54"/>
      <c r="D507" s="54"/>
      <c r="E507" s="53"/>
      <c r="F507" s="53"/>
      <c r="G507" s="52">
        <f>ROUND($C$16*Table5[[#This Row],[Hours]],2)</f>
        <v>0</v>
      </c>
      <c r="H507" s="47"/>
      <c r="I507" s="51"/>
      <c r="J507" s="50"/>
      <c r="K507" s="49"/>
      <c r="L507" s="48" t="str">
        <f>IF(AND(LEN(K507)&gt;0,D507="APPROVED"),VLOOKUP(Table5[[#This Row],[COMPLETION %]],COMPL_STATUS,2,1),"")</f>
        <v/>
      </c>
      <c r="M507" s="47"/>
      <c r="N507" s="47"/>
      <c r="O507" s="46"/>
    </row>
    <row r="508" spans="3:15" s="55" customFormat="1" ht="15">
      <c r="C508" s="54"/>
      <c r="D508" s="54"/>
      <c r="E508" s="53"/>
      <c r="F508" s="53"/>
      <c r="G508" s="52">
        <f>ROUND($C$16*Table5[[#This Row],[Hours]],2)</f>
        <v>0</v>
      </c>
      <c r="H508" s="47"/>
      <c r="I508" s="51"/>
      <c r="J508" s="50"/>
      <c r="K508" s="49"/>
      <c r="L508" s="48" t="str">
        <f>IF(AND(LEN(K508)&gt;0,D508="APPROVED"),VLOOKUP(Table5[[#This Row],[COMPLETION %]],COMPL_STATUS,2,1),"")</f>
        <v/>
      </c>
      <c r="M508" s="47"/>
      <c r="N508" s="47"/>
      <c r="O508" s="46"/>
    </row>
    <row r="509" spans="3:15" s="55" customFormat="1" ht="15">
      <c r="C509" s="54"/>
      <c r="D509" s="54"/>
      <c r="E509" s="53"/>
      <c r="F509" s="53"/>
      <c r="G509" s="52">
        <f>ROUND($C$16*Table5[[#This Row],[Hours]],2)</f>
        <v>0</v>
      </c>
      <c r="H509" s="47"/>
      <c r="I509" s="51"/>
      <c r="J509" s="50"/>
      <c r="K509" s="49"/>
      <c r="L509" s="48" t="str">
        <f>IF(AND(LEN(K509)&gt;0,D509="APPROVED"),VLOOKUP(Table5[[#This Row],[COMPLETION %]],COMPL_STATUS,2,1),"")</f>
        <v/>
      </c>
      <c r="M509" s="47"/>
      <c r="N509" s="47"/>
      <c r="O509" s="46"/>
    </row>
    <row r="510" spans="3:15" s="55" customFormat="1" ht="15">
      <c r="C510" s="54"/>
      <c r="D510" s="54"/>
      <c r="E510" s="53"/>
      <c r="F510" s="53"/>
      <c r="G510" s="52">
        <f>ROUND($C$16*Table5[[#This Row],[Hours]],2)</f>
        <v>0</v>
      </c>
      <c r="H510" s="47"/>
      <c r="I510" s="51"/>
      <c r="J510" s="50"/>
      <c r="K510" s="49"/>
      <c r="L510" s="48" t="str">
        <f>IF(AND(LEN(K510)&gt;0,D510="APPROVED"),VLOOKUP(Table5[[#This Row],[COMPLETION %]],COMPL_STATUS,2,1),"")</f>
        <v/>
      </c>
      <c r="M510" s="47"/>
      <c r="N510" s="47"/>
      <c r="O510" s="46"/>
    </row>
    <row r="511" spans="3:15" s="55" customFormat="1" ht="15">
      <c r="C511" s="54"/>
      <c r="D511" s="54"/>
      <c r="E511" s="53"/>
      <c r="F511" s="53"/>
      <c r="G511" s="52">
        <f>ROUND($C$16*Table5[[#This Row],[Hours]],2)</f>
        <v>0</v>
      </c>
      <c r="H511" s="47"/>
      <c r="I511" s="51"/>
      <c r="J511" s="50"/>
      <c r="K511" s="49"/>
      <c r="L511" s="48" t="str">
        <f>IF(AND(LEN(K511)&gt;0,D511="APPROVED"),VLOOKUP(Table5[[#This Row],[COMPLETION %]],COMPL_STATUS,2,1),"")</f>
        <v/>
      </c>
      <c r="M511" s="47"/>
      <c r="N511" s="47"/>
      <c r="O511" s="46"/>
    </row>
    <row r="512" spans="3:15" s="55" customFormat="1" ht="15">
      <c r="C512" s="54"/>
      <c r="D512" s="54"/>
      <c r="E512" s="53"/>
      <c r="F512" s="53"/>
      <c r="G512" s="52">
        <f>ROUND($C$16*Table5[[#This Row],[Hours]],2)</f>
        <v>0</v>
      </c>
      <c r="H512" s="47"/>
      <c r="I512" s="51"/>
      <c r="J512" s="50"/>
      <c r="K512" s="49"/>
      <c r="L512" s="48" t="str">
        <f>IF(AND(LEN(K512)&gt;0,D512="APPROVED"),VLOOKUP(Table5[[#This Row],[COMPLETION %]],COMPL_STATUS,2,1),"")</f>
        <v/>
      </c>
      <c r="M512" s="47"/>
      <c r="N512" s="47"/>
      <c r="O512" s="46"/>
    </row>
    <row r="513" spans="3:15" s="55" customFormat="1" ht="15">
      <c r="C513" s="54"/>
      <c r="D513" s="54"/>
      <c r="E513" s="53"/>
      <c r="F513" s="53"/>
      <c r="G513" s="52">
        <f>ROUND($C$16*Table5[[#This Row],[Hours]],2)</f>
        <v>0</v>
      </c>
      <c r="H513" s="47"/>
      <c r="I513" s="51"/>
      <c r="J513" s="50"/>
      <c r="K513" s="49"/>
      <c r="L513" s="48" t="str">
        <f>IF(AND(LEN(K513)&gt;0,D513="APPROVED"),VLOOKUP(Table5[[#This Row],[COMPLETION %]],COMPL_STATUS,2,1),"")</f>
        <v/>
      </c>
      <c r="M513" s="47"/>
      <c r="N513" s="47"/>
      <c r="O513" s="46"/>
    </row>
    <row r="514" spans="3:15" s="55" customFormat="1" ht="15">
      <c r="C514" s="54"/>
      <c r="D514" s="54"/>
      <c r="E514" s="53"/>
      <c r="F514" s="53"/>
      <c r="G514" s="52">
        <f>ROUND($C$16*Table5[[#This Row],[Hours]],2)</f>
        <v>0</v>
      </c>
      <c r="H514" s="47"/>
      <c r="I514" s="51"/>
      <c r="J514" s="50"/>
      <c r="K514" s="49"/>
      <c r="L514" s="48" t="str">
        <f>IF(AND(LEN(K514)&gt;0,D514="APPROVED"),VLOOKUP(Table5[[#This Row],[COMPLETION %]],COMPL_STATUS,2,1),"")</f>
        <v/>
      </c>
      <c r="M514" s="47"/>
      <c r="N514" s="47"/>
      <c r="O514" s="46"/>
    </row>
    <row r="515" spans="3:15" s="55" customFormat="1" ht="15">
      <c r="C515" s="54"/>
      <c r="D515" s="54"/>
      <c r="E515" s="53"/>
      <c r="F515" s="53"/>
      <c r="G515" s="52">
        <f>ROUND($C$16*Table5[[#This Row],[Hours]],2)</f>
        <v>0</v>
      </c>
      <c r="H515" s="47"/>
      <c r="I515" s="51"/>
      <c r="J515" s="50"/>
      <c r="K515" s="49"/>
      <c r="L515" s="48" t="str">
        <f>IF(AND(LEN(K515)&gt;0,D515="APPROVED"),VLOOKUP(Table5[[#This Row],[COMPLETION %]],COMPL_STATUS,2,1),"")</f>
        <v/>
      </c>
      <c r="M515" s="47"/>
      <c r="N515" s="47"/>
      <c r="O515" s="46"/>
    </row>
    <row r="516" spans="3:15" s="55" customFormat="1" ht="15">
      <c r="C516" s="54"/>
      <c r="D516" s="54"/>
      <c r="E516" s="53"/>
      <c r="F516" s="53"/>
      <c r="G516" s="52">
        <f>ROUND($C$16*Table5[[#This Row],[Hours]],2)</f>
        <v>0</v>
      </c>
      <c r="H516" s="47"/>
      <c r="I516" s="51"/>
      <c r="J516" s="50"/>
      <c r="K516" s="49"/>
      <c r="L516" s="48" t="str">
        <f>IF(AND(LEN(K516)&gt;0,D516="APPROVED"),VLOOKUP(Table5[[#This Row],[COMPLETION %]],COMPL_STATUS,2,1),"")</f>
        <v/>
      </c>
      <c r="M516" s="47"/>
      <c r="N516" s="47"/>
      <c r="O516" s="46"/>
    </row>
    <row r="517" spans="3:15" s="55" customFormat="1" ht="15">
      <c r="C517" s="54"/>
      <c r="D517" s="54"/>
      <c r="E517" s="53"/>
      <c r="F517" s="53"/>
      <c r="G517" s="52">
        <f>ROUND($C$16*Table5[[#This Row],[Hours]],2)</f>
        <v>0</v>
      </c>
      <c r="H517" s="47"/>
      <c r="I517" s="51"/>
      <c r="J517" s="50"/>
      <c r="K517" s="49"/>
      <c r="L517" s="48" t="str">
        <f>IF(AND(LEN(K517)&gt;0,D517="APPROVED"),VLOOKUP(Table5[[#This Row],[COMPLETION %]],COMPL_STATUS,2,1),"")</f>
        <v/>
      </c>
      <c r="M517" s="47"/>
      <c r="N517" s="47"/>
      <c r="O517" s="46"/>
    </row>
    <row r="518" spans="3:15" s="55" customFormat="1" ht="15">
      <c r="C518" s="54"/>
      <c r="D518" s="54"/>
      <c r="E518" s="53"/>
      <c r="F518" s="53"/>
      <c r="G518" s="52">
        <f>ROUND($C$16*Table5[[#This Row],[Hours]],2)</f>
        <v>0</v>
      </c>
      <c r="H518" s="47"/>
      <c r="I518" s="51"/>
      <c r="J518" s="50"/>
      <c r="K518" s="49"/>
      <c r="L518" s="48" t="str">
        <f>IF(AND(LEN(K518)&gt;0,D518="APPROVED"),VLOOKUP(Table5[[#This Row],[COMPLETION %]],COMPL_STATUS,2,1),"")</f>
        <v/>
      </c>
      <c r="M518" s="47"/>
      <c r="N518" s="47"/>
      <c r="O518" s="46"/>
    </row>
    <row r="519" spans="3:15" s="55" customFormat="1" ht="15">
      <c r="C519" s="54"/>
      <c r="D519" s="54"/>
      <c r="E519" s="53"/>
      <c r="F519" s="53"/>
      <c r="G519" s="52">
        <f>ROUND($C$16*Table5[[#This Row],[Hours]],2)</f>
        <v>0</v>
      </c>
      <c r="H519" s="47"/>
      <c r="I519" s="51"/>
      <c r="J519" s="50"/>
      <c r="K519" s="49"/>
      <c r="L519" s="48" t="str">
        <f>IF(AND(LEN(K519)&gt;0,D519="APPROVED"),VLOOKUP(Table5[[#This Row],[COMPLETION %]],COMPL_STATUS,2,1),"")</f>
        <v/>
      </c>
      <c r="M519" s="47"/>
      <c r="N519" s="47"/>
      <c r="O519" s="46"/>
    </row>
    <row r="520" spans="3:15" s="55" customFormat="1" ht="15">
      <c r="C520" s="54"/>
      <c r="D520" s="54"/>
      <c r="E520" s="53"/>
      <c r="F520" s="53"/>
      <c r="G520" s="52">
        <f>ROUND($C$16*Table5[[#This Row],[Hours]],2)</f>
        <v>0</v>
      </c>
      <c r="H520" s="47"/>
      <c r="I520" s="51"/>
      <c r="J520" s="50"/>
      <c r="K520" s="49"/>
      <c r="L520" s="48" t="str">
        <f>IF(AND(LEN(K520)&gt;0,D520="APPROVED"),VLOOKUP(Table5[[#This Row],[COMPLETION %]],COMPL_STATUS,2,1),"")</f>
        <v/>
      </c>
      <c r="M520" s="47"/>
      <c r="N520" s="47"/>
      <c r="O520" s="46"/>
    </row>
    <row r="521" spans="3:15" s="55" customFormat="1" ht="15">
      <c r="C521" s="54"/>
      <c r="D521" s="54"/>
      <c r="E521" s="53"/>
      <c r="F521" s="53"/>
      <c r="G521" s="52">
        <f>ROUND($C$16*Table5[[#This Row],[Hours]],2)</f>
        <v>0</v>
      </c>
      <c r="H521" s="47"/>
      <c r="I521" s="51"/>
      <c r="J521" s="50"/>
      <c r="K521" s="49"/>
      <c r="L521" s="48" t="str">
        <f>IF(AND(LEN(K521)&gt;0,D521="APPROVED"),VLOOKUP(Table5[[#This Row],[COMPLETION %]],COMPL_STATUS,2,1),"")</f>
        <v/>
      </c>
      <c r="M521" s="47"/>
      <c r="N521" s="47"/>
      <c r="O521" s="46"/>
    </row>
    <row r="522" spans="3:15" s="55" customFormat="1" ht="15">
      <c r="C522" s="54"/>
      <c r="D522" s="54"/>
      <c r="E522" s="53"/>
      <c r="F522" s="53"/>
      <c r="G522" s="52">
        <f>ROUND($C$16*Table5[[#This Row],[Hours]],2)</f>
        <v>0</v>
      </c>
      <c r="H522" s="47"/>
      <c r="I522" s="51"/>
      <c r="J522" s="50"/>
      <c r="K522" s="49"/>
      <c r="L522" s="48" t="str">
        <f>IF(AND(LEN(K522)&gt;0,D522="APPROVED"),VLOOKUP(Table5[[#This Row],[COMPLETION %]],COMPL_STATUS,2,1),"")</f>
        <v/>
      </c>
      <c r="M522" s="47"/>
      <c r="N522" s="47"/>
      <c r="O522" s="46"/>
    </row>
    <row r="523" spans="3:15" s="55" customFormat="1" ht="15">
      <c r="C523" s="54"/>
      <c r="D523" s="54"/>
      <c r="E523" s="53"/>
      <c r="F523" s="53"/>
      <c r="G523" s="52">
        <f>ROUND($C$16*Table5[[#This Row],[Hours]],2)</f>
        <v>0</v>
      </c>
      <c r="H523" s="47"/>
      <c r="I523" s="51"/>
      <c r="J523" s="50"/>
      <c r="K523" s="49"/>
      <c r="L523" s="48" t="str">
        <f>IF(AND(LEN(K523)&gt;0,D523="APPROVED"),VLOOKUP(Table5[[#This Row],[COMPLETION %]],COMPL_STATUS,2,1),"")</f>
        <v/>
      </c>
      <c r="M523" s="47"/>
      <c r="N523" s="47"/>
      <c r="O523" s="46"/>
    </row>
    <row r="524" spans="3:15" s="55" customFormat="1" ht="15">
      <c r="C524" s="54"/>
      <c r="D524" s="54"/>
      <c r="E524" s="53"/>
      <c r="F524" s="53"/>
      <c r="G524" s="52">
        <f>ROUND($C$16*Table5[[#This Row],[Hours]],2)</f>
        <v>0</v>
      </c>
      <c r="H524" s="47"/>
      <c r="I524" s="51"/>
      <c r="J524" s="50"/>
      <c r="K524" s="49"/>
      <c r="L524" s="48" t="str">
        <f>IF(AND(LEN(K524)&gt;0,D524="APPROVED"),VLOOKUP(Table5[[#This Row],[COMPLETION %]],COMPL_STATUS,2,1),"")</f>
        <v/>
      </c>
      <c r="M524" s="47"/>
      <c r="N524" s="47"/>
      <c r="O524" s="46"/>
    </row>
    <row r="525" spans="3:15" s="55" customFormat="1" ht="15">
      <c r="C525" s="54"/>
      <c r="D525" s="54"/>
      <c r="E525" s="53"/>
      <c r="F525" s="53"/>
      <c r="G525" s="52">
        <f>ROUND($C$16*Table5[[#This Row],[Hours]],2)</f>
        <v>0</v>
      </c>
      <c r="H525" s="47"/>
      <c r="I525" s="51"/>
      <c r="J525" s="50"/>
      <c r="K525" s="49"/>
      <c r="L525" s="48" t="str">
        <f>IF(AND(LEN(K525)&gt;0,D525="APPROVED"),VLOOKUP(Table5[[#This Row],[COMPLETION %]],COMPL_STATUS,2,1),"")</f>
        <v/>
      </c>
      <c r="M525" s="47"/>
      <c r="N525" s="47"/>
      <c r="O525" s="46"/>
    </row>
    <row r="526" spans="3:15" s="55" customFormat="1" ht="15">
      <c r="C526" s="54"/>
      <c r="D526" s="54"/>
      <c r="E526" s="53"/>
      <c r="F526" s="53"/>
      <c r="G526" s="52">
        <f>ROUND($C$16*Table5[[#This Row],[Hours]],2)</f>
        <v>0</v>
      </c>
      <c r="H526" s="47"/>
      <c r="I526" s="51"/>
      <c r="J526" s="50"/>
      <c r="K526" s="49"/>
      <c r="L526" s="48" t="str">
        <f>IF(AND(LEN(K526)&gt;0,D526="APPROVED"),VLOOKUP(Table5[[#This Row],[COMPLETION %]],COMPL_STATUS,2,1),"")</f>
        <v/>
      </c>
      <c r="M526" s="47"/>
      <c r="N526" s="47"/>
      <c r="O526" s="46"/>
    </row>
    <row r="527" spans="3:15" s="55" customFormat="1" ht="15">
      <c r="C527" s="54"/>
      <c r="D527" s="54"/>
      <c r="E527" s="53"/>
      <c r="F527" s="53"/>
      <c r="G527" s="52">
        <f>ROUND($C$16*Table5[[#This Row],[Hours]],2)</f>
        <v>0</v>
      </c>
      <c r="H527" s="47"/>
      <c r="I527" s="51"/>
      <c r="J527" s="50"/>
      <c r="K527" s="49"/>
      <c r="L527" s="48" t="str">
        <f>IF(AND(LEN(K527)&gt;0,D527="APPROVED"),VLOOKUP(Table5[[#This Row],[COMPLETION %]],COMPL_STATUS,2,1),"")</f>
        <v/>
      </c>
      <c r="M527" s="47"/>
      <c r="N527" s="47"/>
      <c r="O527" s="46"/>
    </row>
    <row r="528" spans="3:15" s="55" customFormat="1" ht="15">
      <c r="C528" s="54"/>
      <c r="D528" s="54"/>
      <c r="E528" s="53"/>
      <c r="F528" s="53"/>
      <c r="G528" s="52">
        <f>ROUND($C$16*Table5[[#This Row],[Hours]],2)</f>
        <v>0</v>
      </c>
      <c r="H528" s="47"/>
      <c r="I528" s="51"/>
      <c r="J528" s="50"/>
      <c r="K528" s="49"/>
      <c r="L528" s="48" t="str">
        <f>IF(AND(LEN(K528)&gt;0,D528="APPROVED"),VLOOKUP(Table5[[#This Row],[COMPLETION %]],COMPL_STATUS,2,1),"")</f>
        <v/>
      </c>
      <c r="M528" s="47"/>
      <c r="N528" s="47"/>
      <c r="O528" s="46"/>
    </row>
    <row r="529" spans="3:15" s="55" customFormat="1" ht="15">
      <c r="C529" s="54"/>
      <c r="D529" s="54"/>
      <c r="E529" s="53"/>
      <c r="F529" s="53"/>
      <c r="G529" s="52">
        <f>ROUND($C$16*Table5[[#This Row],[Hours]],2)</f>
        <v>0</v>
      </c>
      <c r="H529" s="47"/>
      <c r="I529" s="51"/>
      <c r="J529" s="50"/>
      <c r="K529" s="49"/>
      <c r="L529" s="48" t="str">
        <f>IF(AND(LEN(K529)&gt;0,D529="APPROVED"),VLOOKUP(Table5[[#This Row],[COMPLETION %]],COMPL_STATUS,2,1),"")</f>
        <v/>
      </c>
      <c r="M529" s="47"/>
      <c r="N529" s="47"/>
      <c r="O529" s="46"/>
    </row>
    <row r="530" spans="3:15" s="55" customFormat="1" ht="15">
      <c r="C530" s="54"/>
      <c r="D530" s="54"/>
      <c r="E530" s="53"/>
      <c r="F530" s="53"/>
      <c r="G530" s="52">
        <f>ROUND($C$16*Table5[[#This Row],[Hours]],2)</f>
        <v>0</v>
      </c>
      <c r="H530" s="47"/>
      <c r="I530" s="51"/>
      <c r="J530" s="50"/>
      <c r="K530" s="49"/>
      <c r="L530" s="48" t="str">
        <f>IF(AND(LEN(K530)&gt;0,D530="APPROVED"),VLOOKUP(Table5[[#This Row],[COMPLETION %]],COMPL_STATUS,2,1),"")</f>
        <v/>
      </c>
      <c r="M530" s="47"/>
      <c r="N530" s="47"/>
      <c r="O530" s="46"/>
    </row>
    <row r="531" spans="3:15" s="55" customFormat="1" ht="15">
      <c r="C531" s="54"/>
      <c r="D531" s="54"/>
      <c r="E531" s="53"/>
      <c r="F531" s="53"/>
      <c r="G531" s="52">
        <f>ROUND($C$16*Table5[[#This Row],[Hours]],2)</f>
        <v>0</v>
      </c>
      <c r="H531" s="47"/>
      <c r="I531" s="51"/>
      <c r="J531" s="50"/>
      <c r="K531" s="49"/>
      <c r="L531" s="48" t="str">
        <f>IF(AND(LEN(K531)&gt;0,D531="APPROVED"),VLOOKUP(Table5[[#This Row],[COMPLETION %]],COMPL_STATUS,2,1),"")</f>
        <v/>
      </c>
      <c r="M531" s="47"/>
      <c r="N531" s="47"/>
      <c r="O531" s="46"/>
    </row>
    <row r="532" spans="3:15" s="55" customFormat="1" ht="15">
      <c r="C532" s="54"/>
      <c r="D532" s="54"/>
      <c r="E532" s="53"/>
      <c r="F532" s="53"/>
      <c r="G532" s="52">
        <f>ROUND($C$16*Table5[[#This Row],[Hours]],2)</f>
        <v>0</v>
      </c>
      <c r="H532" s="47"/>
      <c r="I532" s="51"/>
      <c r="J532" s="50"/>
      <c r="K532" s="49"/>
      <c r="L532" s="48" t="str">
        <f>IF(AND(LEN(K532)&gt;0,D532="APPROVED"),VLOOKUP(Table5[[#This Row],[COMPLETION %]],COMPL_STATUS,2,1),"")</f>
        <v/>
      </c>
      <c r="M532" s="47"/>
      <c r="N532" s="47"/>
      <c r="O532" s="46"/>
    </row>
    <row r="533" spans="3:15" s="55" customFormat="1" ht="15">
      <c r="C533" s="54"/>
      <c r="D533" s="54"/>
      <c r="E533" s="53"/>
      <c r="F533" s="53"/>
      <c r="G533" s="52">
        <f>ROUND($C$16*Table5[[#This Row],[Hours]],2)</f>
        <v>0</v>
      </c>
      <c r="H533" s="47"/>
      <c r="I533" s="51"/>
      <c r="J533" s="50"/>
      <c r="K533" s="49"/>
      <c r="L533" s="48" t="str">
        <f>IF(AND(LEN(K533)&gt;0,D533="APPROVED"),VLOOKUP(Table5[[#This Row],[COMPLETION %]],COMPL_STATUS,2,1),"")</f>
        <v/>
      </c>
      <c r="M533" s="47"/>
      <c r="N533" s="47"/>
      <c r="O533" s="46"/>
    </row>
    <row r="534" spans="3:15" s="55" customFormat="1" ht="15">
      <c r="C534" s="54"/>
      <c r="D534" s="54"/>
      <c r="E534" s="53"/>
      <c r="F534" s="53"/>
      <c r="G534" s="52">
        <f>ROUND($C$16*Table5[[#This Row],[Hours]],2)</f>
        <v>0</v>
      </c>
      <c r="H534" s="47"/>
      <c r="I534" s="51"/>
      <c r="J534" s="50"/>
      <c r="K534" s="49"/>
      <c r="L534" s="48" t="str">
        <f>IF(AND(LEN(K534)&gt;0,D534="APPROVED"),VLOOKUP(Table5[[#This Row],[COMPLETION %]],COMPL_STATUS,2,1),"")</f>
        <v/>
      </c>
      <c r="M534" s="47"/>
      <c r="N534" s="47"/>
      <c r="O534" s="46"/>
    </row>
    <row r="535" spans="3:15" s="55" customFormat="1" ht="15">
      <c r="C535" s="54"/>
      <c r="D535" s="54"/>
      <c r="E535" s="53"/>
      <c r="F535" s="53"/>
      <c r="G535" s="52">
        <f>ROUND($C$16*Table5[[#This Row],[Hours]],2)</f>
        <v>0</v>
      </c>
      <c r="H535" s="47"/>
      <c r="I535" s="51"/>
      <c r="J535" s="50"/>
      <c r="K535" s="49"/>
      <c r="L535" s="48" t="str">
        <f>IF(AND(LEN(K535)&gt;0,D535="APPROVED"),VLOOKUP(Table5[[#This Row],[COMPLETION %]],COMPL_STATUS,2,1),"")</f>
        <v/>
      </c>
      <c r="M535" s="47"/>
      <c r="N535" s="47"/>
      <c r="O535" s="46"/>
    </row>
    <row r="536" spans="3:15" s="55" customFormat="1" ht="15">
      <c r="C536" s="54"/>
      <c r="D536" s="54"/>
      <c r="E536" s="53"/>
      <c r="F536" s="53"/>
      <c r="G536" s="52">
        <f>ROUND($C$16*Table5[[#This Row],[Hours]],2)</f>
        <v>0</v>
      </c>
      <c r="H536" s="47"/>
      <c r="I536" s="51"/>
      <c r="J536" s="50"/>
      <c r="K536" s="49"/>
      <c r="L536" s="48" t="str">
        <f>IF(AND(LEN(K536)&gt;0,D536="APPROVED"),VLOOKUP(Table5[[#This Row],[COMPLETION %]],COMPL_STATUS,2,1),"")</f>
        <v/>
      </c>
      <c r="M536" s="47"/>
      <c r="N536" s="47"/>
      <c r="O536" s="46"/>
    </row>
    <row r="537" spans="3:15" s="55" customFormat="1" ht="15">
      <c r="C537" s="54"/>
      <c r="D537" s="54"/>
      <c r="E537" s="53"/>
      <c r="F537" s="53"/>
      <c r="G537" s="52">
        <f>ROUND($C$16*Table5[[#This Row],[Hours]],2)</f>
        <v>0</v>
      </c>
      <c r="H537" s="47"/>
      <c r="I537" s="51"/>
      <c r="J537" s="50"/>
      <c r="K537" s="49"/>
      <c r="L537" s="48" t="str">
        <f>IF(AND(LEN(K537)&gt;0,D537="APPROVED"),VLOOKUP(Table5[[#This Row],[COMPLETION %]],COMPL_STATUS,2,1),"")</f>
        <v/>
      </c>
      <c r="M537" s="47"/>
      <c r="N537" s="47"/>
      <c r="O537" s="46"/>
    </row>
    <row r="538" spans="3:15" s="55" customFormat="1" ht="15">
      <c r="C538" s="54"/>
      <c r="D538" s="54"/>
      <c r="E538" s="53"/>
      <c r="F538" s="53"/>
      <c r="G538" s="52">
        <f>ROUND($C$16*Table5[[#This Row],[Hours]],2)</f>
        <v>0</v>
      </c>
      <c r="H538" s="47"/>
      <c r="I538" s="51"/>
      <c r="J538" s="50"/>
      <c r="K538" s="49"/>
      <c r="L538" s="48" t="str">
        <f>IF(AND(LEN(K538)&gt;0,D538="APPROVED"),VLOOKUP(Table5[[#This Row],[COMPLETION %]],COMPL_STATUS,2,1),"")</f>
        <v/>
      </c>
      <c r="M538" s="47"/>
      <c r="N538" s="47"/>
      <c r="O538" s="46"/>
    </row>
    <row r="539" spans="3:15" s="55" customFormat="1" ht="15">
      <c r="C539" s="54"/>
      <c r="D539" s="54"/>
      <c r="E539" s="53"/>
      <c r="F539" s="53"/>
      <c r="G539" s="52">
        <f>ROUND($C$16*Table5[[#This Row],[Hours]],2)</f>
        <v>0</v>
      </c>
      <c r="H539" s="47"/>
      <c r="I539" s="51"/>
      <c r="J539" s="50"/>
      <c r="K539" s="49"/>
      <c r="L539" s="48" t="str">
        <f>IF(AND(LEN(K539)&gt;0,D539="APPROVED"),VLOOKUP(Table5[[#This Row],[COMPLETION %]],COMPL_STATUS,2,1),"")</f>
        <v/>
      </c>
      <c r="M539" s="47"/>
      <c r="N539" s="47"/>
      <c r="O539" s="46"/>
    </row>
    <row r="540" spans="3:15" s="55" customFormat="1" ht="15">
      <c r="C540" s="54"/>
      <c r="D540" s="54"/>
      <c r="E540" s="53"/>
      <c r="F540" s="53"/>
      <c r="G540" s="52">
        <f>ROUND($C$16*Table5[[#This Row],[Hours]],2)</f>
        <v>0</v>
      </c>
      <c r="H540" s="47"/>
      <c r="I540" s="51"/>
      <c r="J540" s="50"/>
      <c r="K540" s="49"/>
      <c r="L540" s="48" t="str">
        <f>IF(AND(LEN(K540)&gt;0,D540="APPROVED"),VLOOKUP(Table5[[#This Row],[COMPLETION %]],COMPL_STATUS,2,1),"")</f>
        <v/>
      </c>
      <c r="M540" s="47"/>
      <c r="N540" s="47"/>
      <c r="O540" s="46"/>
    </row>
    <row r="541" spans="3:15" s="55" customFormat="1" ht="15">
      <c r="C541" s="54"/>
      <c r="D541" s="54"/>
      <c r="E541" s="53"/>
      <c r="F541" s="53"/>
      <c r="G541" s="52">
        <f>ROUND($C$16*Table5[[#This Row],[Hours]],2)</f>
        <v>0</v>
      </c>
      <c r="H541" s="47"/>
      <c r="I541" s="51"/>
      <c r="J541" s="50"/>
      <c r="K541" s="49"/>
      <c r="L541" s="48" t="str">
        <f>IF(AND(LEN(K541)&gt;0,D541="APPROVED"),VLOOKUP(Table5[[#This Row],[COMPLETION %]],COMPL_STATUS,2,1),"")</f>
        <v/>
      </c>
      <c r="M541" s="47"/>
      <c r="N541" s="47"/>
      <c r="O541" s="46"/>
    </row>
    <row r="542" spans="3:15" s="55" customFormat="1" ht="15">
      <c r="C542" s="54"/>
      <c r="D542" s="54"/>
      <c r="E542" s="53"/>
      <c r="F542" s="53"/>
      <c r="G542" s="52">
        <f>ROUND($C$16*Table5[[#This Row],[Hours]],2)</f>
        <v>0</v>
      </c>
      <c r="H542" s="47"/>
      <c r="I542" s="51"/>
      <c r="J542" s="50"/>
      <c r="K542" s="49"/>
      <c r="L542" s="48" t="str">
        <f>IF(AND(LEN(K542)&gt;0,D542="APPROVED"),VLOOKUP(Table5[[#This Row],[COMPLETION %]],COMPL_STATUS,2,1),"")</f>
        <v/>
      </c>
      <c r="M542" s="47"/>
      <c r="N542" s="47"/>
      <c r="O542" s="46"/>
    </row>
    <row r="543" spans="3:15" s="55" customFormat="1" ht="15">
      <c r="C543" s="54"/>
      <c r="D543" s="54"/>
      <c r="E543" s="53"/>
      <c r="F543" s="53"/>
      <c r="G543" s="52">
        <f>ROUND($C$16*Table5[[#This Row],[Hours]],2)</f>
        <v>0</v>
      </c>
      <c r="H543" s="47"/>
      <c r="I543" s="51"/>
      <c r="J543" s="50"/>
      <c r="K543" s="49"/>
      <c r="L543" s="48" t="str">
        <f>IF(AND(LEN(K543)&gt;0,D543="APPROVED"),VLOOKUP(Table5[[#This Row],[COMPLETION %]],COMPL_STATUS,2,1),"")</f>
        <v/>
      </c>
      <c r="M543" s="47"/>
      <c r="N543" s="47"/>
      <c r="O543" s="46"/>
    </row>
    <row r="544" spans="3:15" s="55" customFormat="1" ht="15">
      <c r="C544" s="54"/>
      <c r="D544" s="54"/>
      <c r="E544" s="53"/>
      <c r="F544" s="53"/>
      <c r="G544" s="52">
        <f>ROUND($C$16*Table5[[#This Row],[Hours]],2)</f>
        <v>0</v>
      </c>
      <c r="H544" s="47"/>
      <c r="I544" s="51"/>
      <c r="J544" s="50"/>
      <c r="K544" s="49"/>
      <c r="L544" s="48" t="str">
        <f>IF(AND(LEN(K544)&gt;0,D544="APPROVED"),VLOOKUP(Table5[[#This Row],[COMPLETION %]],COMPL_STATUS,2,1),"")</f>
        <v/>
      </c>
      <c r="M544" s="47"/>
      <c r="N544" s="47"/>
      <c r="O544" s="46"/>
    </row>
    <row r="545" spans="3:15" s="55" customFormat="1" ht="15">
      <c r="C545" s="54"/>
      <c r="D545" s="54"/>
      <c r="E545" s="53"/>
      <c r="F545" s="53"/>
      <c r="G545" s="52">
        <f>ROUND($C$16*Table5[[#This Row],[Hours]],2)</f>
        <v>0</v>
      </c>
      <c r="H545" s="47"/>
      <c r="I545" s="51"/>
      <c r="J545" s="50"/>
      <c r="K545" s="49"/>
      <c r="L545" s="48" t="str">
        <f>IF(AND(LEN(K545)&gt;0,D545="APPROVED"),VLOOKUP(Table5[[#This Row],[COMPLETION %]],COMPL_STATUS,2,1),"")</f>
        <v/>
      </c>
      <c r="M545" s="47"/>
      <c r="N545" s="47"/>
      <c r="O545" s="46"/>
    </row>
    <row r="546" spans="3:15" s="55" customFormat="1" ht="15">
      <c r="C546" s="54"/>
      <c r="D546" s="54"/>
      <c r="E546" s="53"/>
      <c r="F546" s="53"/>
      <c r="G546" s="52">
        <f>ROUND($C$16*Table5[[#This Row],[Hours]],2)</f>
        <v>0</v>
      </c>
      <c r="H546" s="47"/>
      <c r="I546" s="51"/>
      <c r="J546" s="50"/>
      <c r="K546" s="49"/>
      <c r="L546" s="48" t="str">
        <f>IF(AND(LEN(K546)&gt;0,D546="APPROVED"),VLOOKUP(Table5[[#This Row],[COMPLETION %]],COMPL_STATUS,2,1),"")</f>
        <v/>
      </c>
      <c r="M546" s="47"/>
      <c r="N546" s="47"/>
      <c r="O546" s="46"/>
    </row>
    <row r="547" spans="3:15" s="55" customFormat="1" ht="15">
      <c r="C547" s="54"/>
      <c r="D547" s="54"/>
      <c r="E547" s="53"/>
      <c r="F547" s="53"/>
      <c r="G547" s="52">
        <f>ROUND($C$16*Table5[[#This Row],[Hours]],2)</f>
        <v>0</v>
      </c>
      <c r="H547" s="47"/>
      <c r="I547" s="51"/>
      <c r="J547" s="50"/>
      <c r="K547" s="49"/>
      <c r="L547" s="48" t="str">
        <f>IF(AND(LEN(K547)&gt;0,D547="APPROVED"),VLOOKUP(Table5[[#This Row],[COMPLETION %]],COMPL_STATUS,2,1),"")</f>
        <v/>
      </c>
      <c r="M547" s="47"/>
      <c r="N547" s="47"/>
      <c r="O547" s="46"/>
    </row>
    <row r="548" spans="3:15" s="55" customFormat="1" ht="15">
      <c r="C548" s="54"/>
      <c r="D548" s="54"/>
      <c r="E548" s="53"/>
      <c r="F548" s="53"/>
      <c r="G548" s="52">
        <f>ROUND($C$16*Table5[[#This Row],[Hours]],2)</f>
        <v>0</v>
      </c>
      <c r="H548" s="47"/>
      <c r="I548" s="51"/>
      <c r="J548" s="50"/>
      <c r="K548" s="49"/>
      <c r="L548" s="48" t="str">
        <f>IF(AND(LEN(K548)&gt;0,D548="APPROVED"),VLOOKUP(Table5[[#This Row],[COMPLETION %]],COMPL_STATUS,2,1),"")</f>
        <v/>
      </c>
      <c r="M548" s="47"/>
      <c r="N548" s="47"/>
      <c r="O548" s="46"/>
    </row>
    <row r="549" spans="3:15" s="55" customFormat="1" ht="15">
      <c r="C549" s="54"/>
      <c r="D549" s="54"/>
      <c r="E549" s="53"/>
      <c r="F549" s="53"/>
      <c r="G549" s="52">
        <f>ROUND($C$16*Table5[[#This Row],[Hours]],2)</f>
        <v>0</v>
      </c>
      <c r="H549" s="47"/>
      <c r="I549" s="51"/>
      <c r="J549" s="50"/>
      <c r="K549" s="49"/>
      <c r="L549" s="48" t="str">
        <f>IF(AND(LEN(K549)&gt;0,D549="APPROVED"),VLOOKUP(Table5[[#This Row],[COMPLETION %]],COMPL_STATUS,2,1),"")</f>
        <v/>
      </c>
      <c r="M549" s="47"/>
      <c r="N549" s="47"/>
      <c r="O549" s="46"/>
    </row>
    <row r="550" spans="3:15" s="55" customFormat="1" ht="15">
      <c r="C550" s="54"/>
      <c r="D550" s="54"/>
      <c r="E550" s="53"/>
      <c r="F550" s="53"/>
      <c r="G550" s="52">
        <f>ROUND($C$16*Table5[[#This Row],[Hours]],2)</f>
        <v>0</v>
      </c>
      <c r="H550" s="47"/>
      <c r="I550" s="51"/>
      <c r="J550" s="50"/>
      <c r="K550" s="49"/>
      <c r="L550" s="48" t="str">
        <f>IF(AND(LEN(K550)&gt;0,D550="APPROVED"),VLOOKUP(Table5[[#This Row],[COMPLETION %]],COMPL_STATUS,2,1),"")</f>
        <v/>
      </c>
      <c r="M550" s="47"/>
      <c r="N550" s="47"/>
      <c r="O550" s="46"/>
    </row>
    <row r="551" spans="3:15" s="55" customFormat="1" ht="15">
      <c r="C551" s="54"/>
      <c r="D551" s="54"/>
      <c r="E551" s="53"/>
      <c r="F551" s="53"/>
      <c r="G551" s="52">
        <f>ROUND($C$16*Table5[[#This Row],[Hours]],2)</f>
        <v>0</v>
      </c>
      <c r="H551" s="47"/>
      <c r="I551" s="51"/>
      <c r="J551" s="50"/>
      <c r="K551" s="49"/>
      <c r="L551" s="48" t="str">
        <f>IF(AND(LEN(K551)&gt;0,D551="APPROVED"),VLOOKUP(Table5[[#This Row],[COMPLETION %]],COMPL_STATUS,2,1),"")</f>
        <v/>
      </c>
      <c r="M551" s="47"/>
      <c r="N551" s="47"/>
      <c r="O551" s="46"/>
    </row>
    <row r="552" spans="3:15" s="55" customFormat="1" ht="15">
      <c r="C552" s="54"/>
      <c r="D552" s="54"/>
      <c r="E552" s="53"/>
      <c r="F552" s="53"/>
      <c r="G552" s="52">
        <f>ROUND($C$16*Table5[[#This Row],[Hours]],2)</f>
        <v>0</v>
      </c>
      <c r="H552" s="47"/>
      <c r="I552" s="51"/>
      <c r="J552" s="50"/>
      <c r="K552" s="49"/>
      <c r="L552" s="48" t="str">
        <f>IF(AND(LEN(K552)&gt;0,D552="APPROVED"),VLOOKUP(Table5[[#This Row],[COMPLETION %]],COMPL_STATUS,2,1),"")</f>
        <v/>
      </c>
      <c r="M552" s="47"/>
      <c r="N552" s="47"/>
      <c r="O552" s="46"/>
    </row>
    <row r="553" spans="3:15" s="55" customFormat="1" ht="15">
      <c r="C553" s="54"/>
      <c r="D553" s="54"/>
      <c r="E553" s="53"/>
      <c r="F553" s="53"/>
      <c r="G553" s="52">
        <f>ROUND($C$16*Table5[[#This Row],[Hours]],2)</f>
        <v>0</v>
      </c>
      <c r="H553" s="47"/>
      <c r="I553" s="51"/>
      <c r="J553" s="50"/>
      <c r="K553" s="49"/>
      <c r="L553" s="48" t="str">
        <f>IF(AND(LEN(K553)&gt;0,D553="APPROVED"),VLOOKUP(Table5[[#This Row],[COMPLETION %]],COMPL_STATUS,2,1),"")</f>
        <v/>
      </c>
      <c r="M553" s="47"/>
      <c r="N553" s="47"/>
      <c r="O553" s="46"/>
    </row>
    <row r="554" spans="3:15" s="55" customFormat="1" ht="15">
      <c r="C554" s="54"/>
      <c r="D554" s="54"/>
      <c r="E554" s="53"/>
      <c r="F554" s="53"/>
      <c r="G554" s="52">
        <f>ROUND($C$16*Table5[[#This Row],[Hours]],2)</f>
        <v>0</v>
      </c>
      <c r="H554" s="47"/>
      <c r="I554" s="51"/>
      <c r="J554" s="50"/>
      <c r="K554" s="49"/>
      <c r="L554" s="48" t="str">
        <f>IF(AND(LEN(K554)&gt;0,D554="APPROVED"),VLOOKUP(Table5[[#This Row],[COMPLETION %]],COMPL_STATUS,2,1),"")</f>
        <v/>
      </c>
      <c r="M554" s="47"/>
      <c r="N554" s="47"/>
      <c r="O554" s="46"/>
    </row>
    <row r="555" spans="3:15" s="55" customFormat="1" ht="15">
      <c r="C555" s="54"/>
      <c r="D555" s="54"/>
      <c r="E555" s="53"/>
      <c r="F555" s="53"/>
      <c r="G555" s="52">
        <f>ROUND($C$16*Table5[[#This Row],[Hours]],2)</f>
        <v>0</v>
      </c>
      <c r="H555" s="47"/>
      <c r="I555" s="51"/>
      <c r="J555" s="50"/>
      <c r="K555" s="49"/>
      <c r="L555" s="48" t="str">
        <f>IF(AND(LEN(K555)&gt;0,D555="APPROVED"),VLOOKUP(Table5[[#This Row],[COMPLETION %]],COMPL_STATUS,2,1),"")</f>
        <v/>
      </c>
      <c r="M555" s="47"/>
      <c r="N555" s="47"/>
      <c r="O555" s="46"/>
    </row>
    <row r="556" spans="3:15" s="55" customFormat="1" ht="15">
      <c r="C556" s="54"/>
      <c r="D556" s="54"/>
      <c r="E556" s="53"/>
      <c r="F556" s="53"/>
      <c r="G556" s="52">
        <f>ROUND($C$16*Table5[[#This Row],[Hours]],2)</f>
        <v>0</v>
      </c>
      <c r="H556" s="47"/>
      <c r="I556" s="51"/>
      <c r="J556" s="50"/>
      <c r="K556" s="49"/>
      <c r="L556" s="48" t="str">
        <f>IF(AND(LEN(K556)&gt;0,D556="APPROVED"),VLOOKUP(Table5[[#This Row],[COMPLETION %]],COMPL_STATUS,2,1),"")</f>
        <v/>
      </c>
      <c r="M556" s="47"/>
      <c r="N556" s="47"/>
      <c r="O556" s="46"/>
    </row>
    <row r="557" spans="3:15" s="55" customFormat="1" ht="15">
      <c r="C557" s="54"/>
      <c r="D557" s="54"/>
      <c r="E557" s="53"/>
      <c r="F557" s="53"/>
      <c r="G557" s="52">
        <f>ROUND($C$16*Table5[[#This Row],[Hours]],2)</f>
        <v>0</v>
      </c>
      <c r="H557" s="47"/>
      <c r="I557" s="51"/>
      <c r="J557" s="50"/>
      <c r="K557" s="49"/>
      <c r="L557" s="48" t="str">
        <f>IF(AND(LEN(K557)&gt;0,D557="APPROVED"),VLOOKUP(Table5[[#This Row],[COMPLETION %]],COMPL_STATUS,2,1),"")</f>
        <v/>
      </c>
      <c r="M557" s="47"/>
      <c r="N557" s="47"/>
      <c r="O557" s="46"/>
    </row>
    <row r="558" spans="3:15" s="55" customFormat="1" ht="15">
      <c r="C558" s="54"/>
      <c r="D558" s="54"/>
      <c r="E558" s="53"/>
      <c r="F558" s="53"/>
      <c r="G558" s="52">
        <f>ROUND($C$16*Table5[[#This Row],[Hours]],2)</f>
        <v>0</v>
      </c>
      <c r="H558" s="47"/>
      <c r="I558" s="51"/>
      <c r="J558" s="50"/>
      <c r="K558" s="49"/>
      <c r="L558" s="48" t="str">
        <f>IF(AND(LEN(K558)&gt;0,D558="APPROVED"),VLOOKUP(Table5[[#This Row],[COMPLETION %]],COMPL_STATUS,2,1),"")</f>
        <v/>
      </c>
      <c r="M558" s="47"/>
      <c r="N558" s="47"/>
      <c r="O558" s="46"/>
    </row>
    <row r="559" spans="3:15" s="55" customFormat="1" ht="15">
      <c r="C559" s="54"/>
      <c r="D559" s="54"/>
      <c r="E559" s="53"/>
      <c r="F559" s="53"/>
      <c r="G559" s="52">
        <f>ROUND($C$16*Table5[[#This Row],[Hours]],2)</f>
        <v>0</v>
      </c>
      <c r="H559" s="47"/>
      <c r="I559" s="51"/>
      <c r="J559" s="50"/>
      <c r="K559" s="49"/>
      <c r="L559" s="48" t="str">
        <f>IF(AND(LEN(K559)&gt;0,D559="APPROVED"),VLOOKUP(Table5[[#This Row],[COMPLETION %]],COMPL_STATUS,2,1),"")</f>
        <v/>
      </c>
      <c r="M559" s="47"/>
      <c r="N559" s="47"/>
      <c r="O559" s="46"/>
    </row>
    <row r="560" spans="3:15" s="55" customFormat="1" ht="15">
      <c r="C560" s="54"/>
      <c r="D560" s="54"/>
      <c r="E560" s="53"/>
      <c r="F560" s="53"/>
      <c r="G560" s="52">
        <f>ROUND($C$16*Table5[[#This Row],[Hours]],2)</f>
        <v>0</v>
      </c>
      <c r="H560" s="47"/>
      <c r="I560" s="51"/>
      <c r="J560" s="50"/>
      <c r="K560" s="49"/>
      <c r="L560" s="48" t="str">
        <f>IF(AND(LEN(K560)&gt;0,D560="APPROVED"),VLOOKUP(Table5[[#This Row],[COMPLETION %]],COMPL_STATUS,2,1),"")</f>
        <v/>
      </c>
      <c r="M560" s="47"/>
      <c r="N560" s="47"/>
      <c r="O560" s="46"/>
    </row>
    <row r="561" spans="3:15" s="55" customFormat="1" ht="15">
      <c r="C561" s="54"/>
      <c r="D561" s="54"/>
      <c r="E561" s="53"/>
      <c r="F561" s="53"/>
      <c r="G561" s="52">
        <f>ROUND($C$16*Table5[[#This Row],[Hours]],2)</f>
        <v>0</v>
      </c>
      <c r="H561" s="47"/>
      <c r="I561" s="51"/>
      <c r="J561" s="50"/>
      <c r="K561" s="49"/>
      <c r="L561" s="48" t="str">
        <f>IF(AND(LEN(K561)&gt;0,D561="APPROVED"),VLOOKUP(Table5[[#This Row],[COMPLETION %]],COMPL_STATUS,2,1),"")</f>
        <v/>
      </c>
      <c r="M561" s="47"/>
      <c r="N561" s="47"/>
      <c r="O561" s="46"/>
    </row>
    <row r="562" spans="3:15" s="55" customFormat="1" ht="15">
      <c r="C562" s="54"/>
      <c r="D562" s="54"/>
      <c r="E562" s="53"/>
      <c r="F562" s="53"/>
      <c r="G562" s="52">
        <f>ROUND($C$16*Table5[[#This Row],[Hours]],2)</f>
        <v>0</v>
      </c>
      <c r="H562" s="47"/>
      <c r="I562" s="51"/>
      <c r="J562" s="50"/>
      <c r="K562" s="49"/>
      <c r="L562" s="48" t="str">
        <f>IF(AND(LEN(K562)&gt;0,D562="APPROVED"),VLOOKUP(Table5[[#This Row],[COMPLETION %]],COMPL_STATUS,2,1),"")</f>
        <v/>
      </c>
      <c r="M562" s="47"/>
      <c r="N562" s="47"/>
      <c r="O562" s="46"/>
    </row>
    <row r="563" spans="3:15" s="55" customFormat="1" ht="15">
      <c r="C563" s="54"/>
      <c r="D563" s="54"/>
      <c r="E563" s="53"/>
      <c r="F563" s="53"/>
      <c r="G563" s="52">
        <f>ROUND($C$16*Table5[[#This Row],[Hours]],2)</f>
        <v>0</v>
      </c>
      <c r="H563" s="47"/>
      <c r="I563" s="51"/>
      <c r="J563" s="50"/>
      <c r="K563" s="49"/>
      <c r="L563" s="48" t="str">
        <f>IF(AND(LEN(K563)&gt;0,D563="APPROVED"),VLOOKUP(Table5[[#This Row],[COMPLETION %]],COMPL_STATUS,2,1),"")</f>
        <v/>
      </c>
      <c r="M563" s="47"/>
      <c r="N563" s="47"/>
      <c r="O563" s="46"/>
    </row>
    <row r="564" spans="3:15" s="55" customFormat="1" ht="15">
      <c r="C564" s="54"/>
      <c r="D564" s="54"/>
      <c r="E564" s="53"/>
      <c r="F564" s="53"/>
      <c r="G564" s="52">
        <f>ROUND($C$16*Table5[[#This Row],[Hours]],2)</f>
        <v>0</v>
      </c>
      <c r="H564" s="47"/>
      <c r="I564" s="51"/>
      <c r="J564" s="50"/>
      <c r="K564" s="49"/>
      <c r="L564" s="48" t="str">
        <f>IF(AND(LEN(K564)&gt;0,D564="APPROVED"),VLOOKUP(Table5[[#This Row],[COMPLETION %]],COMPL_STATUS,2,1),"")</f>
        <v/>
      </c>
      <c r="M564" s="47"/>
      <c r="N564" s="47"/>
      <c r="O564" s="46"/>
    </row>
    <row r="565" spans="3:15" s="55" customFormat="1" ht="15">
      <c r="C565" s="54"/>
      <c r="D565" s="54"/>
      <c r="E565" s="53"/>
      <c r="F565" s="53"/>
      <c r="G565" s="52">
        <f>ROUND($C$16*Table5[[#This Row],[Hours]],2)</f>
        <v>0</v>
      </c>
      <c r="H565" s="47"/>
      <c r="I565" s="51"/>
      <c r="J565" s="50"/>
      <c r="K565" s="49"/>
      <c r="L565" s="48" t="str">
        <f>IF(AND(LEN(K565)&gt;0,D565="APPROVED"),VLOOKUP(Table5[[#This Row],[COMPLETION %]],COMPL_STATUS,2,1),"")</f>
        <v/>
      </c>
      <c r="M565" s="47"/>
      <c r="N565" s="47"/>
      <c r="O565" s="46"/>
    </row>
    <row r="566" spans="3:15" s="55" customFormat="1" ht="15">
      <c r="C566" s="54"/>
      <c r="D566" s="54"/>
      <c r="E566" s="53"/>
      <c r="F566" s="53"/>
      <c r="G566" s="52">
        <f>ROUND($C$16*Table5[[#This Row],[Hours]],2)</f>
        <v>0</v>
      </c>
      <c r="H566" s="47"/>
      <c r="I566" s="51"/>
      <c r="J566" s="50"/>
      <c r="K566" s="49"/>
      <c r="L566" s="48" t="str">
        <f>IF(AND(LEN(K566)&gt;0,D566="APPROVED"),VLOOKUP(Table5[[#This Row],[COMPLETION %]],COMPL_STATUS,2,1),"")</f>
        <v/>
      </c>
      <c r="M566" s="47"/>
      <c r="N566" s="47"/>
      <c r="O566" s="46"/>
    </row>
    <row r="567" spans="3:15" s="55" customFormat="1" ht="15">
      <c r="C567" s="54"/>
      <c r="D567" s="54"/>
      <c r="E567" s="53"/>
      <c r="F567" s="53"/>
      <c r="G567" s="52">
        <f>ROUND($C$16*Table5[[#This Row],[Hours]],2)</f>
        <v>0</v>
      </c>
      <c r="H567" s="47"/>
      <c r="I567" s="51"/>
      <c r="J567" s="50"/>
      <c r="K567" s="49"/>
      <c r="L567" s="48" t="str">
        <f>IF(AND(LEN(K567)&gt;0,D567="APPROVED"),VLOOKUP(Table5[[#This Row],[COMPLETION %]],COMPL_STATUS,2,1),"")</f>
        <v/>
      </c>
      <c r="M567" s="47"/>
      <c r="N567" s="47"/>
      <c r="O567" s="46"/>
    </row>
    <row r="568" spans="3:15" s="55" customFormat="1" ht="15">
      <c r="C568" s="54"/>
      <c r="D568" s="54"/>
      <c r="E568" s="53"/>
      <c r="F568" s="53"/>
      <c r="G568" s="52">
        <f>ROUND($C$16*Table5[[#This Row],[Hours]],2)</f>
        <v>0</v>
      </c>
      <c r="H568" s="47"/>
      <c r="I568" s="51"/>
      <c r="J568" s="50"/>
      <c r="K568" s="49"/>
      <c r="L568" s="48" t="str">
        <f>IF(AND(LEN(K568)&gt;0,D568="APPROVED"),VLOOKUP(Table5[[#This Row],[COMPLETION %]],COMPL_STATUS,2,1),"")</f>
        <v/>
      </c>
      <c r="M568" s="47"/>
      <c r="N568" s="47"/>
      <c r="O568" s="46"/>
    </row>
    <row r="569" spans="3:15" s="55" customFormat="1" ht="15">
      <c r="C569" s="54"/>
      <c r="D569" s="54"/>
      <c r="E569" s="53"/>
      <c r="F569" s="53"/>
      <c r="G569" s="52">
        <f>ROUND($C$16*Table5[[#This Row],[Hours]],2)</f>
        <v>0</v>
      </c>
      <c r="H569" s="47"/>
      <c r="I569" s="51"/>
      <c r="J569" s="50"/>
      <c r="K569" s="49"/>
      <c r="L569" s="48" t="str">
        <f>IF(AND(LEN(K569)&gt;0,D569="APPROVED"),VLOOKUP(Table5[[#This Row],[COMPLETION %]],COMPL_STATUS,2,1),"")</f>
        <v/>
      </c>
      <c r="M569" s="47"/>
      <c r="N569" s="47"/>
      <c r="O569" s="46"/>
    </row>
    <row r="570" spans="3:15" s="55" customFormat="1" ht="15">
      <c r="C570" s="54"/>
      <c r="D570" s="54"/>
      <c r="E570" s="53"/>
      <c r="F570" s="53"/>
      <c r="G570" s="52">
        <f>ROUND($C$16*Table5[[#This Row],[Hours]],2)</f>
        <v>0</v>
      </c>
      <c r="H570" s="47"/>
      <c r="I570" s="51"/>
      <c r="J570" s="50"/>
      <c r="K570" s="49"/>
      <c r="L570" s="48" t="str">
        <f>IF(AND(LEN(K570)&gt;0,D570="APPROVED"),VLOOKUP(Table5[[#This Row],[COMPLETION %]],COMPL_STATUS,2,1),"")</f>
        <v/>
      </c>
      <c r="M570" s="47"/>
      <c r="N570" s="47"/>
      <c r="O570" s="46"/>
    </row>
    <row r="571" spans="3:15" s="55" customFormat="1" ht="15">
      <c r="C571" s="54"/>
      <c r="D571" s="54"/>
      <c r="E571" s="53"/>
      <c r="F571" s="53"/>
      <c r="G571" s="52">
        <f>ROUND($C$16*Table5[[#This Row],[Hours]],2)</f>
        <v>0</v>
      </c>
      <c r="H571" s="47"/>
      <c r="I571" s="51"/>
      <c r="J571" s="50"/>
      <c r="K571" s="49"/>
      <c r="L571" s="48" t="str">
        <f>IF(AND(LEN(K571)&gt;0,D571="APPROVED"),VLOOKUP(Table5[[#This Row],[COMPLETION %]],COMPL_STATUS,2,1),"")</f>
        <v/>
      </c>
      <c r="M571" s="47"/>
      <c r="N571" s="47"/>
      <c r="O571" s="46"/>
    </row>
    <row r="572" spans="3:15" s="55" customFormat="1" ht="15">
      <c r="C572" s="54"/>
      <c r="D572" s="54"/>
      <c r="E572" s="53"/>
      <c r="F572" s="53"/>
      <c r="G572" s="52">
        <f>ROUND($C$16*Table5[[#This Row],[Hours]],2)</f>
        <v>0</v>
      </c>
      <c r="H572" s="47"/>
      <c r="I572" s="51"/>
      <c r="J572" s="50"/>
      <c r="K572" s="49"/>
      <c r="L572" s="48" t="str">
        <f>IF(AND(LEN(K572)&gt;0,D572="APPROVED"),VLOOKUP(Table5[[#This Row],[COMPLETION %]],COMPL_STATUS,2,1),"")</f>
        <v/>
      </c>
      <c r="M572" s="47"/>
      <c r="N572" s="47"/>
      <c r="O572" s="46"/>
    </row>
    <row r="573" spans="3:15" s="55" customFormat="1" ht="15">
      <c r="C573" s="54"/>
      <c r="D573" s="54"/>
      <c r="E573" s="53"/>
      <c r="F573" s="53"/>
      <c r="G573" s="52">
        <f>ROUND($C$16*Table5[[#This Row],[Hours]],2)</f>
        <v>0</v>
      </c>
      <c r="H573" s="47"/>
      <c r="I573" s="51"/>
      <c r="J573" s="50"/>
      <c r="K573" s="49"/>
      <c r="L573" s="48" t="str">
        <f>IF(AND(LEN(K573)&gt;0,D573="APPROVED"),VLOOKUP(Table5[[#This Row],[COMPLETION %]],COMPL_STATUS,2,1),"")</f>
        <v/>
      </c>
      <c r="M573" s="47"/>
      <c r="N573" s="47"/>
      <c r="O573" s="46"/>
    </row>
    <row r="574" spans="3:15" s="55" customFormat="1" ht="15">
      <c r="C574" s="54"/>
      <c r="D574" s="54"/>
      <c r="E574" s="53"/>
      <c r="F574" s="53"/>
      <c r="G574" s="52">
        <f>ROUND($C$16*Table5[[#This Row],[Hours]],2)</f>
        <v>0</v>
      </c>
      <c r="H574" s="47"/>
      <c r="I574" s="51"/>
      <c r="J574" s="50"/>
      <c r="K574" s="49"/>
      <c r="L574" s="48" t="str">
        <f>IF(AND(LEN(K574)&gt;0,D574="APPROVED"),VLOOKUP(Table5[[#This Row],[COMPLETION %]],COMPL_STATUS,2,1),"")</f>
        <v/>
      </c>
      <c r="M574" s="47"/>
      <c r="N574" s="47"/>
      <c r="O574" s="46"/>
    </row>
    <row r="575" spans="3:15" s="55" customFormat="1" ht="15">
      <c r="C575" s="54"/>
      <c r="D575" s="54"/>
      <c r="E575" s="53"/>
      <c r="F575" s="53"/>
      <c r="G575" s="52">
        <f>ROUND($C$16*Table5[[#This Row],[Hours]],2)</f>
        <v>0</v>
      </c>
      <c r="H575" s="47"/>
      <c r="I575" s="51"/>
      <c r="J575" s="50"/>
      <c r="K575" s="49"/>
      <c r="L575" s="48" t="str">
        <f>IF(AND(LEN(K575)&gt;0,D575="APPROVED"),VLOOKUP(Table5[[#This Row],[COMPLETION %]],COMPL_STATUS,2,1),"")</f>
        <v/>
      </c>
      <c r="M575" s="47"/>
      <c r="N575" s="47"/>
      <c r="O575" s="46"/>
    </row>
    <row r="576" spans="3:15" s="55" customFormat="1" ht="15">
      <c r="C576" s="54"/>
      <c r="D576" s="54"/>
      <c r="E576" s="53"/>
      <c r="F576" s="53"/>
      <c r="G576" s="52">
        <f>ROUND($C$16*Table5[[#This Row],[Hours]],2)</f>
        <v>0</v>
      </c>
      <c r="H576" s="47"/>
      <c r="I576" s="51"/>
      <c r="J576" s="50"/>
      <c r="K576" s="49"/>
      <c r="L576" s="48" t="str">
        <f>IF(AND(LEN(K576)&gt;0,D576="APPROVED"),VLOOKUP(Table5[[#This Row],[COMPLETION %]],COMPL_STATUS,2,1),"")</f>
        <v/>
      </c>
      <c r="M576" s="47"/>
      <c r="N576" s="47"/>
      <c r="O576" s="46"/>
    </row>
    <row r="577" spans="3:15" s="55" customFormat="1" ht="15">
      <c r="C577" s="54"/>
      <c r="D577" s="54"/>
      <c r="E577" s="53"/>
      <c r="F577" s="53"/>
      <c r="G577" s="52">
        <f>ROUND($C$16*Table5[[#This Row],[Hours]],2)</f>
        <v>0</v>
      </c>
      <c r="H577" s="47"/>
      <c r="I577" s="51"/>
      <c r="J577" s="50"/>
      <c r="K577" s="49"/>
      <c r="L577" s="48" t="str">
        <f>IF(AND(LEN(K577)&gt;0,D577="APPROVED"),VLOOKUP(Table5[[#This Row],[COMPLETION %]],COMPL_STATUS,2,1),"")</f>
        <v/>
      </c>
      <c r="M577" s="47"/>
      <c r="N577" s="47"/>
      <c r="O577" s="46"/>
    </row>
    <row r="578" spans="3:15" s="55" customFormat="1" ht="15">
      <c r="C578" s="54"/>
      <c r="D578" s="54"/>
      <c r="E578" s="53"/>
      <c r="F578" s="53"/>
      <c r="G578" s="52">
        <f>ROUND($C$16*Table5[[#This Row],[Hours]],2)</f>
        <v>0</v>
      </c>
      <c r="H578" s="47"/>
      <c r="I578" s="51"/>
      <c r="J578" s="50"/>
      <c r="K578" s="49"/>
      <c r="L578" s="48" t="str">
        <f>IF(AND(LEN(K578)&gt;0,D578="APPROVED"),VLOOKUP(Table5[[#This Row],[COMPLETION %]],COMPL_STATUS,2,1),"")</f>
        <v/>
      </c>
      <c r="M578" s="47"/>
      <c r="N578" s="47"/>
      <c r="O578" s="46"/>
    </row>
    <row r="579" spans="3:15" s="55" customFormat="1" ht="15">
      <c r="C579" s="54"/>
      <c r="D579" s="54"/>
      <c r="E579" s="53"/>
      <c r="F579" s="53"/>
      <c r="G579" s="52">
        <f>ROUND($C$16*Table5[[#This Row],[Hours]],2)</f>
        <v>0</v>
      </c>
      <c r="H579" s="47"/>
      <c r="I579" s="51"/>
      <c r="J579" s="50"/>
      <c r="K579" s="49"/>
      <c r="L579" s="48" t="str">
        <f>IF(AND(LEN(K579)&gt;0,D579="APPROVED"),VLOOKUP(Table5[[#This Row],[COMPLETION %]],COMPL_STATUS,2,1),"")</f>
        <v/>
      </c>
      <c r="M579" s="47"/>
      <c r="N579" s="47"/>
      <c r="O579" s="46"/>
    </row>
    <row r="580" spans="3:15" s="55" customFormat="1" ht="15">
      <c r="C580" s="54"/>
      <c r="D580" s="54"/>
      <c r="E580" s="53"/>
      <c r="F580" s="53"/>
      <c r="G580" s="52">
        <f>ROUND($C$16*Table5[[#This Row],[Hours]],2)</f>
        <v>0</v>
      </c>
      <c r="H580" s="47"/>
      <c r="I580" s="51"/>
      <c r="J580" s="50"/>
      <c r="K580" s="49"/>
      <c r="L580" s="48" t="str">
        <f>IF(AND(LEN(K580)&gt;0,D580="APPROVED"),VLOOKUP(Table5[[#This Row],[COMPLETION %]],COMPL_STATUS,2,1),"")</f>
        <v/>
      </c>
      <c r="M580" s="47"/>
      <c r="N580" s="47"/>
      <c r="O580" s="46"/>
    </row>
    <row r="581" spans="3:15" s="55" customFormat="1" ht="15">
      <c r="C581" s="54"/>
      <c r="D581" s="54"/>
      <c r="E581" s="53"/>
      <c r="F581" s="53"/>
      <c r="G581" s="52">
        <f>ROUND($C$16*Table5[[#This Row],[Hours]],2)</f>
        <v>0</v>
      </c>
      <c r="H581" s="47"/>
      <c r="I581" s="51"/>
      <c r="J581" s="50"/>
      <c r="K581" s="49"/>
      <c r="L581" s="48" t="str">
        <f>IF(AND(LEN(K581)&gt;0,D581="APPROVED"),VLOOKUP(Table5[[#This Row],[COMPLETION %]],COMPL_STATUS,2,1),"")</f>
        <v/>
      </c>
      <c r="M581" s="47"/>
      <c r="N581" s="47"/>
      <c r="O581" s="46"/>
    </row>
    <row r="582" spans="3:15" s="55" customFormat="1" ht="15">
      <c r="C582" s="54"/>
      <c r="D582" s="54"/>
      <c r="E582" s="53"/>
      <c r="F582" s="53"/>
      <c r="G582" s="52">
        <f>ROUND($C$16*Table5[[#This Row],[Hours]],2)</f>
        <v>0</v>
      </c>
      <c r="H582" s="47"/>
      <c r="I582" s="51"/>
      <c r="J582" s="50"/>
      <c r="K582" s="49"/>
      <c r="L582" s="48" t="str">
        <f>IF(AND(LEN(K582)&gt;0,D582="APPROVED"),VLOOKUP(Table5[[#This Row],[COMPLETION %]],COMPL_STATUS,2,1),"")</f>
        <v/>
      </c>
      <c r="M582" s="47"/>
      <c r="N582" s="47"/>
      <c r="O582" s="46"/>
    </row>
    <row r="583" spans="3:15" s="55" customFormat="1" ht="15">
      <c r="C583" s="54"/>
      <c r="D583" s="54"/>
      <c r="E583" s="53"/>
      <c r="F583" s="53"/>
      <c r="G583" s="52">
        <f>ROUND($C$16*Table5[[#This Row],[Hours]],2)</f>
        <v>0</v>
      </c>
      <c r="H583" s="47"/>
      <c r="I583" s="51"/>
      <c r="J583" s="50"/>
      <c r="K583" s="49"/>
      <c r="L583" s="48" t="str">
        <f>IF(AND(LEN(K583)&gt;0,D583="APPROVED"),VLOOKUP(Table5[[#This Row],[COMPLETION %]],COMPL_STATUS,2,1),"")</f>
        <v/>
      </c>
      <c r="M583" s="47"/>
      <c r="N583" s="47"/>
      <c r="O583" s="46"/>
    </row>
    <row r="584" spans="3:15" s="55" customFormat="1" ht="15">
      <c r="C584" s="54"/>
      <c r="D584" s="54"/>
      <c r="E584" s="53"/>
      <c r="F584" s="53"/>
      <c r="G584" s="52">
        <f>ROUND($C$16*Table5[[#This Row],[Hours]],2)</f>
        <v>0</v>
      </c>
      <c r="H584" s="47"/>
      <c r="I584" s="51"/>
      <c r="J584" s="50"/>
      <c r="K584" s="49"/>
      <c r="L584" s="48" t="str">
        <f>IF(AND(LEN(K584)&gt;0,D584="APPROVED"),VLOOKUP(Table5[[#This Row],[COMPLETION %]],COMPL_STATUS,2,1),"")</f>
        <v/>
      </c>
      <c r="M584" s="47"/>
      <c r="N584" s="47"/>
      <c r="O584" s="46"/>
    </row>
    <row r="585" spans="3:15" s="55" customFormat="1" ht="15">
      <c r="C585" s="54"/>
      <c r="D585" s="54"/>
      <c r="E585" s="53"/>
      <c r="F585" s="53"/>
      <c r="G585" s="52">
        <f>ROUND($C$16*Table5[[#This Row],[Hours]],2)</f>
        <v>0</v>
      </c>
      <c r="H585" s="47"/>
      <c r="I585" s="51"/>
      <c r="J585" s="50"/>
      <c r="K585" s="49"/>
      <c r="L585" s="48" t="str">
        <f>IF(AND(LEN(K585)&gt;0,D585="APPROVED"),VLOOKUP(Table5[[#This Row],[COMPLETION %]],COMPL_STATUS,2,1),"")</f>
        <v/>
      </c>
      <c r="M585" s="47"/>
      <c r="N585" s="47"/>
      <c r="O585" s="46"/>
    </row>
    <row r="586" spans="3:15" s="55" customFormat="1" ht="15">
      <c r="C586" s="54"/>
      <c r="D586" s="54"/>
      <c r="E586" s="53"/>
      <c r="F586" s="53"/>
      <c r="G586" s="52">
        <f>ROUND($C$16*Table5[[#This Row],[Hours]],2)</f>
        <v>0</v>
      </c>
      <c r="H586" s="47"/>
      <c r="I586" s="51"/>
      <c r="J586" s="50"/>
      <c r="K586" s="49"/>
      <c r="L586" s="48" t="str">
        <f>IF(AND(LEN(K586)&gt;0,D586="APPROVED"),VLOOKUP(Table5[[#This Row],[COMPLETION %]],COMPL_STATUS,2,1),"")</f>
        <v/>
      </c>
      <c r="M586" s="47"/>
      <c r="N586" s="47"/>
      <c r="O586" s="46"/>
    </row>
    <row r="587" spans="3:15" s="55" customFormat="1" ht="15">
      <c r="C587" s="54"/>
      <c r="D587" s="54"/>
      <c r="E587" s="53"/>
      <c r="F587" s="53"/>
      <c r="G587" s="52">
        <f>ROUND($C$16*Table5[[#This Row],[Hours]],2)</f>
        <v>0</v>
      </c>
      <c r="H587" s="47"/>
      <c r="I587" s="51"/>
      <c r="J587" s="50"/>
      <c r="K587" s="49"/>
      <c r="L587" s="48" t="str">
        <f>IF(AND(LEN(K587)&gt;0,D587="APPROVED"),VLOOKUP(Table5[[#This Row],[COMPLETION %]],COMPL_STATUS,2,1),"")</f>
        <v/>
      </c>
      <c r="M587" s="47"/>
      <c r="N587" s="47"/>
      <c r="O587" s="46"/>
    </row>
    <row r="588" spans="3:15" s="55" customFormat="1" ht="15">
      <c r="C588" s="54"/>
      <c r="D588" s="54"/>
      <c r="E588" s="53"/>
      <c r="F588" s="53"/>
      <c r="G588" s="52">
        <f>ROUND($C$16*Table5[[#This Row],[Hours]],2)</f>
        <v>0</v>
      </c>
      <c r="H588" s="47"/>
      <c r="I588" s="51"/>
      <c r="J588" s="50"/>
      <c r="K588" s="49"/>
      <c r="L588" s="48" t="str">
        <f>IF(AND(LEN(K588)&gt;0,D588="APPROVED"),VLOOKUP(Table5[[#This Row],[COMPLETION %]],COMPL_STATUS,2,1),"")</f>
        <v/>
      </c>
      <c r="M588" s="47"/>
      <c r="N588" s="47"/>
      <c r="O588" s="46"/>
    </row>
    <row r="589" spans="3:15" s="55" customFormat="1" ht="15">
      <c r="C589" s="54"/>
      <c r="D589" s="54"/>
      <c r="E589" s="53"/>
      <c r="F589" s="53"/>
      <c r="G589" s="52">
        <f>ROUND($C$16*Table5[[#This Row],[Hours]],2)</f>
        <v>0</v>
      </c>
      <c r="H589" s="47"/>
      <c r="I589" s="51"/>
      <c r="J589" s="50"/>
      <c r="K589" s="49"/>
      <c r="L589" s="48" t="str">
        <f>IF(AND(LEN(K589)&gt;0,D589="APPROVED"),VLOOKUP(Table5[[#This Row],[COMPLETION %]],COMPL_STATUS,2,1),"")</f>
        <v/>
      </c>
      <c r="M589" s="47"/>
      <c r="N589" s="47"/>
      <c r="O589" s="46"/>
    </row>
    <row r="590" spans="3:15" s="55" customFormat="1" ht="15">
      <c r="C590" s="54"/>
      <c r="D590" s="54"/>
      <c r="E590" s="53"/>
      <c r="F590" s="53"/>
      <c r="G590" s="52">
        <f>ROUND($C$16*Table5[[#This Row],[Hours]],2)</f>
        <v>0</v>
      </c>
      <c r="H590" s="47"/>
      <c r="I590" s="51"/>
      <c r="J590" s="50"/>
      <c r="K590" s="49"/>
      <c r="L590" s="48" t="str">
        <f>IF(AND(LEN(K590)&gt;0,D590="APPROVED"),VLOOKUP(Table5[[#This Row],[COMPLETION %]],COMPL_STATUS,2,1),"")</f>
        <v/>
      </c>
      <c r="M590" s="47"/>
      <c r="N590" s="47"/>
      <c r="O590" s="46"/>
    </row>
    <row r="591" spans="3:15" s="55" customFormat="1" ht="15">
      <c r="C591" s="54"/>
      <c r="D591" s="54"/>
      <c r="E591" s="53"/>
      <c r="F591" s="53"/>
      <c r="G591" s="52">
        <f>ROUND($C$16*Table5[[#This Row],[Hours]],2)</f>
        <v>0</v>
      </c>
      <c r="H591" s="47"/>
      <c r="I591" s="51"/>
      <c r="J591" s="50"/>
      <c r="K591" s="49"/>
      <c r="L591" s="48" t="str">
        <f>IF(AND(LEN(K591)&gt;0,D591="APPROVED"),VLOOKUP(Table5[[#This Row],[COMPLETION %]],COMPL_STATUS,2,1),"")</f>
        <v/>
      </c>
      <c r="M591" s="47"/>
      <c r="N591" s="47"/>
      <c r="O591" s="46"/>
    </row>
    <row r="592" spans="3:15" s="55" customFormat="1" ht="15">
      <c r="C592" s="54"/>
      <c r="D592" s="54"/>
      <c r="E592" s="53"/>
      <c r="F592" s="53"/>
      <c r="G592" s="52">
        <f>ROUND($C$16*Table5[[#This Row],[Hours]],2)</f>
        <v>0</v>
      </c>
      <c r="H592" s="47"/>
      <c r="I592" s="51"/>
      <c r="J592" s="50"/>
      <c r="K592" s="49"/>
      <c r="L592" s="48" t="str">
        <f>IF(AND(LEN(K592)&gt;0,D592="APPROVED"),VLOOKUP(Table5[[#This Row],[COMPLETION %]],COMPL_STATUS,2,1),"")</f>
        <v/>
      </c>
      <c r="M592" s="47"/>
      <c r="N592" s="47"/>
      <c r="O592" s="46"/>
    </row>
    <row r="593" spans="3:15" s="55" customFormat="1" ht="15">
      <c r="C593" s="54"/>
      <c r="D593" s="54"/>
      <c r="E593" s="53"/>
      <c r="F593" s="53"/>
      <c r="G593" s="52">
        <f>ROUND($C$16*Table5[[#This Row],[Hours]],2)</f>
        <v>0</v>
      </c>
      <c r="H593" s="47"/>
      <c r="I593" s="51"/>
      <c r="J593" s="50"/>
      <c r="K593" s="49"/>
      <c r="L593" s="48" t="str">
        <f>IF(AND(LEN(K593)&gt;0,D593="APPROVED"),VLOOKUP(Table5[[#This Row],[COMPLETION %]],COMPL_STATUS,2,1),"")</f>
        <v/>
      </c>
      <c r="M593" s="47"/>
      <c r="N593" s="47"/>
      <c r="O593" s="46"/>
    </row>
    <row r="594" spans="3:15" s="55" customFormat="1" ht="15">
      <c r="C594" s="54"/>
      <c r="D594" s="54"/>
      <c r="E594" s="53"/>
      <c r="F594" s="53"/>
      <c r="G594" s="52">
        <f>ROUND($C$16*Table5[[#This Row],[Hours]],2)</f>
        <v>0</v>
      </c>
      <c r="H594" s="47"/>
      <c r="I594" s="51"/>
      <c r="J594" s="50"/>
      <c r="K594" s="49"/>
      <c r="L594" s="48" t="str">
        <f>IF(AND(LEN(K594)&gt;0,D594="APPROVED"),VLOOKUP(Table5[[#This Row],[COMPLETION %]],COMPL_STATUS,2,1),"")</f>
        <v/>
      </c>
      <c r="M594" s="47"/>
      <c r="N594" s="47"/>
      <c r="O594" s="46"/>
    </row>
    <row r="595" spans="3:15" s="55" customFormat="1" ht="15">
      <c r="C595" s="54"/>
      <c r="D595" s="54"/>
      <c r="E595" s="53"/>
      <c r="F595" s="53"/>
      <c r="G595" s="52">
        <f>ROUND($C$16*Table5[[#This Row],[Hours]],2)</f>
        <v>0</v>
      </c>
      <c r="H595" s="47"/>
      <c r="I595" s="51"/>
      <c r="J595" s="50"/>
      <c r="K595" s="49"/>
      <c r="L595" s="48" t="str">
        <f>IF(AND(LEN(K595)&gt;0,D595="APPROVED"),VLOOKUP(Table5[[#This Row],[COMPLETION %]],COMPL_STATUS,2,1),"")</f>
        <v/>
      </c>
      <c r="M595" s="47"/>
      <c r="N595" s="47"/>
      <c r="O595" s="46"/>
    </row>
    <row r="596" spans="3:15" s="55" customFormat="1" ht="15">
      <c r="C596" s="54"/>
      <c r="D596" s="54"/>
      <c r="E596" s="53"/>
      <c r="F596" s="53"/>
      <c r="G596" s="52">
        <f>ROUND($C$16*Table5[[#This Row],[Hours]],2)</f>
        <v>0</v>
      </c>
      <c r="H596" s="47"/>
      <c r="I596" s="51"/>
      <c r="J596" s="50"/>
      <c r="K596" s="49"/>
      <c r="L596" s="48" t="str">
        <f>IF(AND(LEN(K596)&gt;0,D596="APPROVED"),VLOOKUP(Table5[[#This Row],[COMPLETION %]],COMPL_STATUS,2,1),"")</f>
        <v/>
      </c>
      <c r="M596" s="47"/>
      <c r="N596" s="47"/>
      <c r="O596" s="46"/>
    </row>
    <row r="597" spans="3:15" s="55" customFormat="1" ht="15">
      <c r="C597" s="54"/>
      <c r="D597" s="54"/>
      <c r="E597" s="53"/>
      <c r="F597" s="53"/>
      <c r="G597" s="52">
        <f>ROUND($C$16*Table5[[#This Row],[Hours]],2)</f>
        <v>0</v>
      </c>
      <c r="H597" s="47"/>
      <c r="I597" s="51"/>
      <c r="J597" s="50"/>
      <c r="K597" s="49"/>
      <c r="L597" s="48" t="str">
        <f>IF(AND(LEN(K597)&gt;0,D597="APPROVED"),VLOOKUP(Table5[[#This Row],[COMPLETION %]],COMPL_STATUS,2,1),"")</f>
        <v/>
      </c>
      <c r="M597" s="47"/>
      <c r="N597" s="47"/>
      <c r="O597" s="46"/>
    </row>
    <row r="598" spans="3:15" s="55" customFormat="1" ht="15">
      <c r="C598" s="54"/>
      <c r="D598" s="54"/>
      <c r="E598" s="53"/>
      <c r="F598" s="53"/>
      <c r="G598" s="52">
        <f>ROUND($C$16*Table5[[#This Row],[Hours]],2)</f>
        <v>0</v>
      </c>
      <c r="H598" s="47"/>
      <c r="I598" s="51"/>
      <c r="J598" s="50"/>
      <c r="K598" s="49"/>
      <c r="L598" s="48" t="str">
        <f>IF(AND(LEN(K598)&gt;0,D598="APPROVED"),VLOOKUP(Table5[[#This Row],[COMPLETION %]],COMPL_STATUS,2,1),"")</f>
        <v/>
      </c>
      <c r="M598" s="47"/>
      <c r="N598" s="47"/>
      <c r="O598" s="46"/>
    </row>
    <row r="599" spans="3:15" s="55" customFormat="1" ht="15">
      <c r="C599" s="54"/>
      <c r="D599" s="54"/>
      <c r="E599" s="53"/>
      <c r="F599" s="53"/>
      <c r="G599" s="52">
        <f>ROUND($C$16*Table5[[#This Row],[Hours]],2)</f>
        <v>0</v>
      </c>
      <c r="H599" s="47"/>
      <c r="I599" s="51"/>
      <c r="J599" s="50"/>
      <c r="K599" s="49"/>
      <c r="L599" s="48" t="str">
        <f>IF(AND(LEN(K599)&gt;0,D599="APPROVED"),VLOOKUP(Table5[[#This Row],[COMPLETION %]],COMPL_STATUS,2,1),"")</f>
        <v/>
      </c>
      <c r="M599" s="47"/>
      <c r="N599" s="47"/>
      <c r="O599" s="46"/>
    </row>
    <row r="600" spans="3:15" s="55" customFormat="1" ht="15">
      <c r="C600" s="54"/>
      <c r="D600" s="54"/>
      <c r="E600" s="53"/>
      <c r="F600" s="53"/>
      <c r="G600" s="52">
        <f>ROUND($C$16*Table5[[#This Row],[Hours]],2)</f>
        <v>0</v>
      </c>
      <c r="H600" s="47"/>
      <c r="I600" s="51"/>
      <c r="J600" s="50"/>
      <c r="K600" s="49"/>
      <c r="L600" s="48" t="str">
        <f>IF(AND(LEN(K600)&gt;0,D600="APPROVED"),VLOOKUP(Table5[[#This Row],[COMPLETION %]],COMPL_STATUS,2,1),"")</f>
        <v/>
      </c>
      <c r="M600" s="47"/>
      <c r="N600" s="47"/>
      <c r="O600" s="46"/>
    </row>
    <row r="601" spans="3:15" s="55" customFormat="1" ht="15">
      <c r="C601" s="54"/>
      <c r="D601" s="54"/>
      <c r="E601" s="53"/>
      <c r="F601" s="53"/>
      <c r="G601" s="52">
        <f>ROUND($C$16*Table5[[#This Row],[Hours]],2)</f>
        <v>0</v>
      </c>
      <c r="H601" s="47"/>
      <c r="I601" s="51"/>
      <c r="J601" s="50"/>
      <c r="K601" s="49"/>
      <c r="L601" s="48" t="str">
        <f>IF(AND(LEN(K601)&gt;0,D601="APPROVED"),VLOOKUP(Table5[[#This Row],[COMPLETION %]],COMPL_STATUS,2,1),"")</f>
        <v/>
      </c>
      <c r="M601" s="47"/>
      <c r="N601" s="47"/>
      <c r="O601" s="46"/>
    </row>
    <row r="602" spans="3:15" s="55" customFormat="1" ht="15">
      <c r="C602" s="54"/>
      <c r="D602" s="54"/>
      <c r="E602" s="53"/>
      <c r="F602" s="53"/>
      <c r="G602" s="52">
        <f>ROUND($C$16*Table5[[#This Row],[Hours]],2)</f>
        <v>0</v>
      </c>
      <c r="H602" s="47"/>
      <c r="I602" s="51"/>
      <c r="J602" s="50"/>
      <c r="K602" s="49"/>
      <c r="L602" s="48" t="str">
        <f>IF(AND(LEN(K602)&gt;0,D602="APPROVED"),VLOOKUP(Table5[[#This Row],[COMPLETION %]],COMPL_STATUS,2,1),"")</f>
        <v/>
      </c>
      <c r="M602" s="47"/>
      <c r="N602" s="47"/>
      <c r="O602" s="46"/>
    </row>
    <row r="603" spans="3:15" s="55" customFormat="1" ht="15">
      <c r="C603" s="54"/>
      <c r="D603" s="54"/>
      <c r="E603" s="53"/>
      <c r="F603" s="53"/>
      <c r="G603" s="52">
        <f>ROUND($C$16*Table5[[#This Row],[Hours]],2)</f>
        <v>0</v>
      </c>
      <c r="H603" s="47"/>
      <c r="I603" s="51"/>
      <c r="J603" s="50"/>
      <c r="K603" s="49"/>
      <c r="L603" s="48" t="str">
        <f>IF(AND(LEN(K603)&gt;0,D603="APPROVED"),VLOOKUP(Table5[[#This Row],[COMPLETION %]],COMPL_STATUS,2,1),"")</f>
        <v/>
      </c>
      <c r="M603" s="47"/>
      <c r="N603" s="47"/>
      <c r="O603" s="46"/>
    </row>
    <row r="604" spans="3:15" s="55" customFormat="1" ht="15">
      <c r="C604" s="54"/>
      <c r="D604" s="54"/>
      <c r="E604" s="53"/>
      <c r="F604" s="53"/>
      <c r="G604" s="52">
        <f>ROUND($C$16*Table5[[#This Row],[Hours]],2)</f>
        <v>0</v>
      </c>
      <c r="H604" s="47"/>
      <c r="I604" s="51"/>
      <c r="J604" s="50"/>
      <c r="K604" s="49"/>
      <c r="L604" s="48" t="str">
        <f>IF(AND(LEN(K604)&gt;0,D604="APPROVED"),VLOOKUP(Table5[[#This Row],[COMPLETION %]],COMPL_STATUS,2,1),"")</f>
        <v/>
      </c>
      <c r="M604" s="47"/>
      <c r="N604" s="47"/>
      <c r="O604" s="46"/>
    </row>
    <row r="605" spans="3:15" s="55" customFormat="1" ht="15">
      <c r="C605" s="54"/>
      <c r="D605" s="54"/>
      <c r="E605" s="53"/>
      <c r="F605" s="53"/>
      <c r="G605" s="52">
        <f>ROUND($C$16*Table5[[#This Row],[Hours]],2)</f>
        <v>0</v>
      </c>
      <c r="H605" s="47"/>
      <c r="I605" s="51"/>
      <c r="J605" s="50"/>
      <c r="K605" s="49"/>
      <c r="L605" s="48" t="str">
        <f>IF(AND(LEN(K605)&gt;0,D605="APPROVED"),VLOOKUP(Table5[[#This Row],[COMPLETION %]],COMPL_STATUS,2,1),"")</f>
        <v/>
      </c>
      <c r="M605" s="47"/>
      <c r="N605" s="47"/>
      <c r="O605" s="46"/>
    </row>
    <row r="606" spans="3:15" s="55" customFormat="1" ht="15">
      <c r="C606" s="54"/>
      <c r="D606" s="54"/>
      <c r="E606" s="53"/>
      <c r="F606" s="53"/>
      <c r="G606" s="52">
        <f>ROUND($C$16*Table5[[#This Row],[Hours]],2)</f>
        <v>0</v>
      </c>
      <c r="H606" s="47"/>
      <c r="I606" s="51"/>
      <c r="J606" s="50"/>
      <c r="K606" s="49"/>
      <c r="L606" s="48" t="str">
        <f>IF(AND(LEN(K606)&gt;0,D606="APPROVED"),VLOOKUP(Table5[[#This Row],[COMPLETION %]],COMPL_STATUS,2,1),"")</f>
        <v/>
      </c>
      <c r="M606" s="47"/>
      <c r="N606" s="47"/>
      <c r="O606" s="46"/>
    </row>
    <row r="607" spans="3:15" s="55" customFormat="1" ht="15">
      <c r="C607" s="54"/>
      <c r="D607" s="54"/>
      <c r="E607" s="53"/>
      <c r="F607" s="53"/>
      <c r="G607" s="52">
        <f>ROUND($C$16*Table5[[#This Row],[Hours]],2)</f>
        <v>0</v>
      </c>
      <c r="H607" s="47"/>
      <c r="I607" s="51"/>
      <c r="J607" s="50"/>
      <c r="K607" s="49"/>
      <c r="L607" s="48" t="str">
        <f>IF(AND(LEN(K607)&gt;0,D607="APPROVED"),VLOOKUP(Table5[[#This Row],[COMPLETION %]],COMPL_STATUS,2,1),"")</f>
        <v/>
      </c>
      <c r="M607" s="47"/>
      <c r="N607" s="47"/>
      <c r="O607" s="46"/>
    </row>
    <row r="608" spans="3:15" s="55" customFormat="1" ht="15">
      <c r="C608" s="54"/>
      <c r="D608" s="54"/>
      <c r="E608" s="53"/>
      <c r="F608" s="53"/>
      <c r="G608" s="52">
        <f>ROUND($C$16*Table5[[#This Row],[Hours]],2)</f>
        <v>0</v>
      </c>
      <c r="H608" s="47"/>
      <c r="I608" s="51"/>
      <c r="J608" s="50"/>
      <c r="K608" s="49"/>
      <c r="L608" s="48" t="str">
        <f>IF(AND(LEN(K608)&gt;0,D608="APPROVED"),VLOOKUP(Table5[[#This Row],[COMPLETION %]],COMPL_STATUS,2,1),"")</f>
        <v/>
      </c>
      <c r="M608" s="47"/>
      <c r="N608" s="47"/>
      <c r="O608" s="46"/>
    </row>
    <row r="609" spans="3:15" s="55" customFormat="1" ht="15">
      <c r="C609" s="54"/>
      <c r="D609" s="54"/>
      <c r="E609" s="53"/>
      <c r="F609" s="53"/>
      <c r="G609" s="52">
        <f>ROUND($C$16*Table5[[#This Row],[Hours]],2)</f>
        <v>0</v>
      </c>
      <c r="H609" s="47"/>
      <c r="I609" s="51"/>
      <c r="J609" s="50"/>
      <c r="K609" s="49"/>
      <c r="L609" s="48" t="str">
        <f>IF(AND(LEN(K609)&gt;0,D609="APPROVED"),VLOOKUP(Table5[[#This Row],[COMPLETION %]],COMPL_STATUS,2,1),"")</f>
        <v/>
      </c>
      <c r="M609" s="47"/>
      <c r="N609" s="47"/>
      <c r="O609" s="46"/>
    </row>
    <row r="610" spans="3:15" s="55" customFormat="1" ht="15">
      <c r="C610" s="54"/>
      <c r="D610" s="54"/>
      <c r="E610" s="53"/>
      <c r="F610" s="53"/>
      <c r="G610" s="52">
        <f>ROUND($C$16*Table5[[#This Row],[Hours]],2)</f>
        <v>0</v>
      </c>
      <c r="H610" s="47"/>
      <c r="I610" s="51"/>
      <c r="J610" s="50"/>
      <c r="K610" s="49"/>
      <c r="L610" s="48" t="str">
        <f>IF(AND(LEN(K610)&gt;0,D610="APPROVED"),VLOOKUP(Table5[[#This Row],[COMPLETION %]],COMPL_STATUS,2,1),"")</f>
        <v/>
      </c>
      <c r="M610" s="47"/>
      <c r="N610" s="47"/>
      <c r="O610" s="46"/>
    </row>
    <row r="611" spans="3:15" s="55" customFormat="1" ht="15">
      <c r="C611" s="54"/>
      <c r="D611" s="54"/>
      <c r="E611" s="53"/>
      <c r="F611" s="53"/>
      <c r="G611" s="52">
        <f>ROUND($C$16*Table5[[#This Row],[Hours]],2)</f>
        <v>0</v>
      </c>
      <c r="H611" s="47"/>
      <c r="I611" s="51"/>
      <c r="J611" s="50"/>
      <c r="K611" s="49"/>
      <c r="L611" s="48" t="str">
        <f>IF(AND(LEN(K611)&gt;0,D611="APPROVED"),VLOOKUP(Table5[[#This Row],[COMPLETION %]],COMPL_STATUS,2,1),"")</f>
        <v/>
      </c>
      <c r="M611" s="47"/>
      <c r="N611" s="47"/>
      <c r="O611" s="46"/>
    </row>
    <row r="612" spans="3:15" s="55" customFormat="1" ht="15">
      <c r="C612" s="54"/>
      <c r="D612" s="54"/>
      <c r="E612" s="53"/>
      <c r="F612" s="53"/>
      <c r="G612" s="52">
        <f>ROUND($C$16*Table5[[#This Row],[Hours]],2)</f>
        <v>0</v>
      </c>
      <c r="H612" s="47"/>
      <c r="I612" s="51"/>
      <c r="J612" s="50"/>
      <c r="K612" s="49"/>
      <c r="L612" s="48" t="str">
        <f>IF(AND(LEN(K612)&gt;0,D612="APPROVED"),VLOOKUP(Table5[[#This Row],[COMPLETION %]],COMPL_STATUS,2,1),"")</f>
        <v/>
      </c>
      <c r="M612" s="47"/>
      <c r="N612" s="47"/>
      <c r="O612" s="46"/>
    </row>
    <row r="613" spans="3:15" s="55" customFormat="1" ht="15">
      <c r="C613" s="54"/>
      <c r="D613" s="54"/>
      <c r="E613" s="53"/>
      <c r="F613" s="53"/>
      <c r="G613" s="52">
        <f>ROUND($C$16*Table5[[#This Row],[Hours]],2)</f>
        <v>0</v>
      </c>
      <c r="H613" s="47"/>
      <c r="I613" s="51"/>
      <c r="J613" s="50"/>
      <c r="K613" s="49"/>
      <c r="L613" s="48" t="str">
        <f>IF(AND(LEN(K613)&gt;0,D613="APPROVED"),VLOOKUP(Table5[[#This Row],[COMPLETION %]],COMPL_STATUS,2,1),"")</f>
        <v/>
      </c>
      <c r="M613" s="47"/>
      <c r="N613" s="47"/>
      <c r="O613" s="46"/>
    </row>
    <row r="614" spans="3:15" s="55" customFormat="1" ht="15">
      <c r="C614" s="54"/>
      <c r="D614" s="54"/>
      <c r="E614" s="53"/>
      <c r="F614" s="53"/>
      <c r="G614" s="52">
        <f>ROUND($C$16*Table5[[#This Row],[Hours]],2)</f>
        <v>0</v>
      </c>
      <c r="H614" s="47"/>
      <c r="I614" s="51"/>
      <c r="J614" s="50"/>
      <c r="K614" s="49"/>
      <c r="L614" s="48" t="str">
        <f>IF(AND(LEN(K614)&gt;0,D614="APPROVED"),VLOOKUP(Table5[[#This Row],[COMPLETION %]],COMPL_STATUS,2,1),"")</f>
        <v/>
      </c>
      <c r="M614" s="47"/>
      <c r="N614" s="47"/>
      <c r="O614" s="46"/>
    </row>
    <row r="615" spans="3:15" s="55" customFormat="1" ht="15">
      <c r="C615" s="54"/>
      <c r="D615" s="54"/>
      <c r="E615" s="53"/>
      <c r="F615" s="53"/>
      <c r="G615" s="52">
        <f>ROUND($C$16*Table5[[#This Row],[Hours]],2)</f>
        <v>0</v>
      </c>
      <c r="H615" s="47"/>
      <c r="I615" s="51"/>
      <c r="J615" s="50"/>
      <c r="K615" s="49"/>
      <c r="L615" s="48" t="str">
        <f>IF(AND(LEN(K615)&gt;0,D615="APPROVED"),VLOOKUP(Table5[[#This Row],[COMPLETION %]],COMPL_STATUS,2,1),"")</f>
        <v/>
      </c>
      <c r="M615" s="47"/>
      <c r="N615" s="47"/>
      <c r="O615" s="46"/>
    </row>
    <row r="616" spans="3:15" s="55" customFormat="1" ht="15">
      <c r="C616" s="54"/>
      <c r="D616" s="54"/>
      <c r="E616" s="53"/>
      <c r="F616" s="53"/>
      <c r="G616" s="52">
        <f>ROUND($C$16*Table5[[#This Row],[Hours]],2)</f>
        <v>0</v>
      </c>
      <c r="H616" s="47"/>
      <c r="I616" s="51"/>
      <c r="J616" s="50"/>
      <c r="K616" s="49"/>
      <c r="L616" s="48" t="str">
        <f>IF(AND(LEN(K616)&gt;0,D616="APPROVED"),VLOOKUP(Table5[[#This Row],[COMPLETION %]],COMPL_STATUS,2,1),"")</f>
        <v/>
      </c>
      <c r="M616" s="47"/>
      <c r="N616" s="47"/>
      <c r="O616" s="46"/>
    </row>
    <row r="617" spans="3:15" s="55" customFormat="1" ht="15">
      <c r="C617" s="54"/>
      <c r="D617" s="54"/>
      <c r="E617" s="53"/>
      <c r="F617" s="53"/>
      <c r="G617" s="52">
        <f>ROUND($C$16*Table5[[#This Row],[Hours]],2)</f>
        <v>0</v>
      </c>
      <c r="H617" s="47"/>
      <c r="I617" s="51"/>
      <c r="J617" s="50"/>
      <c r="K617" s="49"/>
      <c r="L617" s="48" t="str">
        <f>IF(AND(LEN(K617)&gt;0,D617="APPROVED"),VLOOKUP(Table5[[#This Row],[COMPLETION %]],COMPL_STATUS,2,1),"")</f>
        <v/>
      </c>
      <c r="M617" s="47"/>
      <c r="N617" s="47"/>
      <c r="O617" s="46"/>
    </row>
    <row r="618" spans="3:15" s="55" customFormat="1" ht="15">
      <c r="C618" s="54"/>
      <c r="D618" s="54"/>
      <c r="E618" s="53"/>
      <c r="F618" s="53"/>
      <c r="G618" s="52">
        <f>ROUND($C$16*Table5[[#This Row],[Hours]],2)</f>
        <v>0</v>
      </c>
      <c r="H618" s="47"/>
      <c r="I618" s="51"/>
      <c r="J618" s="50"/>
      <c r="K618" s="49"/>
      <c r="L618" s="48" t="str">
        <f>IF(AND(LEN(K618)&gt;0,D618="APPROVED"),VLOOKUP(Table5[[#This Row],[COMPLETION %]],COMPL_STATUS,2,1),"")</f>
        <v/>
      </c>
      <c r="M618" s="47"/>
      <c r="N618" s="47"/>
      <c r="O618" s="46"/>
    </row>
    <row r="619" spans="3:15" s="55" customFormat="1" ht="15">
      <c r="C619" s="54"/>
      <c r="D619" s="54"/>
      <c r="E619" s="53"/>
      <c r="F619" s="53"/>
      <c r="G619" s="52">
        <f>ROUND($C$16*Table5[[#This Row],[Hours]],2)</f>
        <v>0</v>
      </c>
      <c r="H619" s="47"/>
      <c r="I619" s="51"/>
      <c r="J619" s="50"/>
      <c r="K619" s="49"/>
      <c r="L619" s="48" t="str">
        <f>IF(AND(LEN(K619)&gt;0,D619="APPROVED"),VLOOKUP(Table5[[#This Row],[COMPLETION %]],COMPL_STATUS,2,1),"")</f>
        <v/>
      </c>
      <c r="M619" s="47"/>
      <c r="N619" s="47"/>
      <c r="O619" s="46"/>
    </row>
    <row r="620" spans="3:15" s="55" customFormat="1" ht="15">
      <c r="C620" s="54"/>
      <c r="D620" s="54"/>
      <c r="E620" s="53"/>
      <c r="F620" s="53"/>
      <c r="G620" s="52">
        <f>ROUND($C$16*Table5[[#This Row],[Hours]],2)</f>
        <v>0</v>
      </c>
      <c r="H620" s="47"/>
      <c r="I620" s="51"/>
      <c r="J620" s="50"/>
      <c r="K620" s="49"/>
      <c r="L620" s="48" t="str">
        <f>IF(AND(LEN(K620)&gt;0,D620="APPROVED"),VLOOKUP(Table5[[#This Row],[COMPLETION %]],COMPL_STATUS,2,1),"")</f>
        <v/>
      </c>
      <c r="M620" s="47"/>
      <c r="N620" s="47"/>
      <c r="O620" s="46"/>
    </row>
    <row r="621" spans="3:15" s="55" customFormat="1" ht="15">
      <c r="C621" s="54"/>
      <c r="D621" s="54"/>
      <c r="E621" s="53"/>
      <c r="F621" s="53"/>
      <c r="G621" s="52">
        <f>ROUND($C$16*Table5[[#This Row],[Hours]],2)</f>
        <v>0</v>
      </c>
      <c r="H621" s="47"/>
      <c r="I621" s="51"/>
      <c r="J621" s="50"/>
      <c r="K621" s="49"/>
      <c r="L621" s="48" t="str">
        <f>IF(AND(LEN(K621)&gt;0,D621="APPROVED"),VLOOKUP(Table5[[#This Row],[COMPLETION %]],COMPL_STATUS,2,1),"")</f>
        <v/>
      </c>
      <c r="M621" s="47"/>
      <c r="N621" s="47"/>
      <c r="O621" s="46"/>
    </row>
    <row r="622" spans="3:15" s="55" customFormat="1" ht="15">
      <c r="C622" s="54"/>
      <c r="D622" s="54"/>
      <c r="E622" s="53"/>
      <c r="F622" s="53"/>
      <c r="G622" s="52">
        <f>ROUND($C$16*Table5[[#This Row],[Hours]],2)</f>
        <v>0</v>
      </c>
      <c r="H622" s="47"/>
      <c r="I622" s="51"/>
      <c r="J622" s="50"/>
      <c r="K622" s="49"/>
      <c r="L622" s="48" t="str">
        <f>IF(AND(LEN(K622)&gt;0,D622="APPROVED"),VLOOKUP(Table5[[#This Row],[COMPLETION %]],COMPL_STATUS,2,1),"")</f>
        <v/>
      </c>
      <c r="M622" s="47"/>
      <c r="N622" s="47"/>
      <c r="O622" s="46"/>
    </row>
    <row r="623" spans="3:15" s="55" customFormat="1" ht="15">
      <c r="C623" s="54"/>
      <c r="D623" s="54"/>
      <c r="E623" s="53"/>
      <c r="F623" s="53"/>
      <c r="G623" s="52">
        <f>ROUND($C$16*Table5[[#This Row],[Hours]],2)</f>
        <v>0</v>
      </c>
      <c r="H623" s="47"/>
      <c r="I623" s="51"/>
      <c r="J623" s="50"/>
      <c r="K623" s="49"/>
      <c r="L623" s="48" t="str">
        <f>IF(AND(LEN(K623)&gt;0,D623="APPROVED"),VLOOKUP(Table5[[#This Row],[COMPLETION %]],COMPL_STATUS,2,1),"")</f>
        <v/>
      </c>
      <c r="M623" s="47"/>
      <c r="N623" s="47"/>
      <c r="O623" s="46"/>
    </row>
    <row r="624" spans="3:15" s="55" customFormat="1" ht="15">
      <c r="C624" s="54"/>
      <c r="D624" s="54"/>
      <c r="E624" s="53"/>
      <c r="F624" s="53"/>
      <c r="G624" s="52">
        <f>ROUND($C$16*Table5[[#This Row],[Hours]],2)</f>
        <v>0</v>
      </c>
      <c r="H624" s="47"/>
      <c r="I624" s="51"/>
      <c r="J624" s="50"/>
      <c r="K624" s="49"/>
      <c r="L624" s="48" t="str">
        <f>IF(AND(LEN(K624)&gt;0,D624="APPROVED"),VLOOKUP(Table5[[#This Row],[COMPLETION %]],COMPL_STATUS,2,1),"")</f>
        <v/>
      </c>
      <c r="M624" s="47"/>
      <c r="N624" s="47"/>
      <c r="O624" s="46"/>
    </row>
    <row r="625" spans="3:15" s="55" customFormat="1" ht="15">
      <c r="C625" s="54"/>
      <c r="D625" s="54"/>
      <c r="E625" s="53"/>
      <c r="F625" s="53"/>
      <c r="G625" s="52">
        <f>ROUND($C$16*Table5[[#This Row],[Hours]],2)</f>
        <v>0</v>
      </c>
      <c r="H625" s="47"/>
      <c r="I625" s="51"/>
      <c r="J625" s="50"/>
      <c r="K625" s="49"/>
      <c r="L625" s="48" t="str">
        <f>IF(AND(LEN(K625)&gt;0,D625="APPROVED"),VLOOKUP(Table5[[#This Row],[COMPLETION %]],COMPL_STATUS,2,1),"")</f>
        <v/>
      </c>
      <c r="M625" s="47"/>
      <c r="N625" s="47"/>
      <c r="O625" s="46"/>
    </row>
    <row r="626" spans="3:15" s="55" customFormat="1" ht="15">
      <c r="C626" s="54"/>
      <c r="D626" s="54"/>
      <c r="E626" s="53"/>
      <c r="F626" s="53"/>
      <c r="G626" s="52">
        <f>ROUND($C$16*Table5[[#This Row],[Hours]],2)</f>
        <v>0</v>
      </c>
      <c r="H626" s="47"/>
      <c r="I626" s="51"/>
      <c r="J626" s="50"/>
      <c r="K626" s="49"/>
      <c r="L626" s="48" t="str">
        <f>IF(AND(LEN(K626)&gt;0,D626="APPROVED"),VLOOKUP(Table5[[#This Row],[COMPLETION %]],COMPL_STATUS,2,1),"")</f>
        <v/>
      </c>
      <c r="M626" s="47"/>
      <c r="N626" s="47"/>
      <c r="O626" s="46"/>
    </row>
    <row r="627" spans="3:15" s="55" customFormat="1" ht="15">
      <c r="C627" s="54"/>
      <c r="D627" s="54"/>
      <c r="E627" s="53"/>
      <c r="F627" s="53"/>
      <c r="G627" s="52">
        <f>ROUND($C$16*Table5[[#This Row],[Hours]],2)</f>
        <v>0</v>
      </c>
      <c r="H627" s="47"/>
      <c r="I627" s="51"/>
      <c r="J627" s="50"/>
      <c r="K627" s="49"/>
      <c r="L627" s="48" t="str">
        <f>IF(AND(LEN(K627)&gt;0,D627="APPROVED"),VLOOKUP(Table5[[#This Row],[COMPLETION %]],COMPL_STATUS,2,1),"")</f>
        <v/>
      </c>
      <c r="M627" s="47"/>
      <c r="N627" s="47"/>
      <c r="O627" s="46"/>
    </row>
    <row r="628" spans="3:15" s="55" customFormat="1" ht="15">
      <c r="C628" s="54"/>
      <c r="D628" s="54"/>
      <c r="E628" s="53"/>
      <c r="F628" s="53"/>
      <c r="G628" s="52">
        <f>ROUND($C$16*Table5[[#This Row],[Hours]],2)</f>
        <v>0</v>
      </c>
      <c r="H628" s="47"/>
      <c r="I628" s="51"/>
      <c r="J628" s="50"/>
      <c r="K628" s="49"/>
      <c r="L628" s="48" t="str">
        <f>IF(AND(LEN(K628)&gt;0,D628="APPROVED"),VLOOKUP(Table5[[#This Row],[COMPLETION %]],COMPL_STATUS,2,1),"")</f>
        <v/>
      </c>
      <c r="M628" s="47"/>
      <c r="N628" s="47"/>
      <c r="O628" s="46"/>
    </row>
    <row r="629" spans="3:15" s="55" customFormat="1" ht="15">
      <c r="C629" s="54"/>
      <c r="D629" s="54"/>
      <c r="E629" s="53"/>
      <c r="F629" s="53"/>
      <c r="G629" s="52">
        <f>ROUND($C$16*Table5[[#This Row],[Hours]],2)</f>
        <v>0</v>
      </c>
      <c r="H629" s="47"/>
      <c r="I629" s="51"/>
      <c r="J629" s="50"/>
      <c r="K629" s="49"/>
      <c r="L629" s="48" t="str">
        <f>IF(AND(LEN(K629)&gt;0,D629="APPROVED"),VLOOKUP(Table5[[#This Row],[COMPLETION %]],COMPL_STATUS,2,1),"")</f>
        <v/>
      </c>
      <c r="M629" s="47"/>
      <c r="N629" s="47"/>
      <c r="O629" s="46"/>
    </row>
    <row r="630" spans="3:15" s="55" customFormat="1" ht="15">
      <c r="C630" s="54"/>
      <c r="D630" s="54"/>
      <c r="E630" s="53"/>
      <c r="F630" s="53"/>
      <c r="G630" s="52">
        <f>ROUND($C$16*Table5[[#This Row],[Hours]],2)</f>
        <v>0</v>
      </c>
      <c r="H630" s="47"/>
      <c r="I630" s="51"/>
      <c r="J630" s="50"/>
      <c r="K630" s="49"/>
      <c r="L630" s="48" t="str">
        <f>IF(AND(LEN(K630)&gt;0,D630="APPROVED"),VLOOKUP(Table5[[#This Row],[COMPLETION %]],COMPL_STATUS,2,1),"")</f>
        <v/>
      </c>
      <c r="M630" s="47"/>
      <c r="N630" s="47"/>
      <c r="O630" s="46"/>
    </row>
    <row r="631" spans="3:15" s="55" customFormat="1" ht="15">
      <c r="C631" s="54"/>
      <c r="D631" s="54"/>
      <c r="E631" s="53"/>
      <c r="F631" s="53"/>
      <c r="G631" s="52">
        <f>ROUND($C$16*Table5[[#This Row],[Hours]],2)</f>
        <v>0</v>
      </c>
      <c r="H631" s="47"/>
      <c r="I631" s="51"/>
      <c r="J631" s="50"/>
      <c r="K631" s="49"/>
      <c r="L631" s="48" t="str">
        <f>IF(AND(LEN(K631)&gt;0,D631="APPROVED"),VLOOKUP(Table5[[#This Row],[COMPLETION %]],COMPL_STATUS,2,1),"")</f>
        <v/>
      </c>
      <c r="M631" s="47"/>
      <c r="N631" s="47"/>
      <c r="O631" s="46"/>
    </row>
    <row r="632" spans="3:15" s="55" customFormat="1" ht="15">
      <c r="C632" s="54"/>
      <c r="D632" s="54"/>
      <c r="E632" s="53"/>
      <c r="F632" s="53"/>
      <c r="G632" s="52">
        <f>ROUND($C$16*Table5[[#This Row],[Hours]],2)</f>
        <v>0</v>
      </c>
      <c r="H632" s="47"/>
      <c r="I632" s="51"/>
      <c r="J632" s="50"/>
      <c r="K632" s="49"/>
      <c r="L632" s="48" t="str">
        <f>IF(AND(LEN(K632)&gt;0,D632="APPROVED"),VLOOKUP(Table5[[#This Row],[COMPLETION %]],COMPL_STATUS,2,1),"")</f>
        <v/>
      </c>
      <c r="M632" s="47"/>
      <c r="N632" s="47"/>
      <c r="O632" s="46"/>
    </row>
    <row r="633" spans="3:15" s="55" customFormat="1" ht="15">
      <c r="C633" s="54"/>
      <c r="D633" s="54"/>
      <c r="E633" s="53"/>
      <c r="F633" s="53"/>
      <c r="G633" s="52">
        <f>ROUND($C$16*Table5[[#This Row],[Hours]],2)</f>
        <v>0</v>
      </c>
      <c r="H633" s="47"/>
      <c r="I633" s="51"/>
      <c r="J633" s="50"/>
      <c r="K633" s="49"/>
      <c r="L633" s="48" t="str">
        <f>IF(AND(LEN(K633)&gt;0,D633="APPROVED"),VLOOKUP(Table5[[#This Row],[COMPLETION %]],COMPL_STATUS,2,1),"")</f>
        <v/>
      </c>
      <c r="M633" s="47"/>
      <c r="N633" s="47"/>
      <c r="O633" s="46"/>
    </row>
    <row r="634" spans="3:15" s="55" customFormat="1" ht="15">
      <c r="C634" s="54"/>
      <c r="D634" s="54"/>
      <c r="E634" s="53"/>
      <c r="F634" s="53"/>
      <c r="G634" s="52">
        <f>ROUND($C$16*Table5[[#This Row],[Hours]],2)</f>
        <v>0</v>
      </c>
      <c r="H634" s="47"/>
      <c r="I634" s="51"/>
      <c r="J634" s="50"/>
      <c r="K634" s="49"/>
      <c r="L634" s="48" t="str">
        <f>IF(AND(LEN(K634)&gt;0,D634="APPROVED"),VLOOKUP(Table5[[#This Row],[COMPLETION %]],COMPL_STATUS,2,1),"")</f>
        <v/>
      </c>
      <c r="M634" s="47"/>
      <c r="N634" s="47"/>
      <c r="O634" s="46"/>
    </row>
    <row r="635" spans="3:15" s="55" customFormat="1" ht="15">
      <c r="C635" s="54"/>
      <c r="D635" s="54"/>
      <c r="E635" s="53"/>
      <c r="F635" s="53"/>
      <c r="G635" s="52">
        <f>ROUND($C$16*Table5[[#This Row],[Hours]],2)</f>
        <v>0</v>
      </c>
      <c r="H635" s="47"/>
      <c r="I635" s="51"/>
      <c r="J635" s="50"/>
      <c r="K635" s="49"/>
      <c r="L635" s="48" t="str">
        <f>IF(AND(LEN(K635)&gt;0,D635="APPROVED"),VLOOKUP(Table5[[#This Row],[COMPLETION %]],COMPL_STATUS,2,1),"")</f>
        <v/>
      </c>
      <c r="M635" s="47"/>
      <c r="N635" s="47"/>
      <c r="O635" s="46"/>
    </row>
    <row r="636" spans="3:15" s="55" customFormat="1" ht="15">
      <c r="C636" s="54"/>
      <c r="D636" s="54"/>
      <c r="E636" s="53"/>
      <c r="F636" s="53"/>
      <c r="G636" s="52">
        <f>ROUND($C$16*Table5[[#This Row],[Hours]],2)</f>
        <v>0</v>
      </c>
      <c r="H636" s="47"/>
      <c r="I636" s="51"/>
      <c r="J636" s="50"/>
      <c r="K636" s="49"/>
      <c r="L636" s="48" t="str">
        <f>IF(AND(LEN(K636)&gt;0,D636="APPROVED"),VLOOKUP(Table5[[#This Row],[COMPLETION %]],COMPL_STATUS,2,1),"")</f>
        <v/>
      </c>
      <c r="M636" s="47"/>
      <c r="N636" s="47"/>
      <c r="O636" s="46"/>
    </row>
    <row r="637" spans="3:15" s="55" customFormat="1" ht="15">
      <c r="C637" s="54"/>
      <c r="D637" s="54"/>
      <c r="E637" s="53"/>
      <c r="F637" s="53"/>
      <c r="G637" s="52">
        <f>ROUND($C$16*Table5[[#This Row],[Hours]],2)</f>
        <v>0</v>
      </c>
      <c r="H637" s="47"/>
      <c r="I637" s="51"/>
      <c r="J637" s="50"/>
      <c r="K637" s="49"/>
      <c r="L637" s="48" t="str">
        <f>IF(AND(LEN(K637)&gt;0,D637="APPROVED"),VLOOKUP(Table5[[#This Row],[COMPLETION %]],COMPL_STATUS,2,1),"")</f>
        <v/>
      </c>
      <c r="M637" s="47"/>
      <c r="N637" s="47"/>
      <c r="O637" s="46"/>
    </row>
    <row r="638" spans="3:15" s="55" customFormat="1" ht="15">
      <c r="C638" s="54"/>
      <c r="D638" s="54"/>
      <c r="E638" s="53"/>
      <c r="F638" s="53"/>
      <c r="G638" s="52">
        <f>ROUND($C$16*Table5[[#This Row],[Hours]],2)</f>
        <v>0</v>
      </c>
      <c r="H638" s="47"/>
      <c r="I638" s="51"/>
      <c r="J638" s="50"/>
      <c r="K638" s="49"/>
      <c r="L638" s="48" t="str">
        <f>IF(AND(LEN(K638)&gt;0,D638="APPROVED"),VLOOKUP(Table5[[#This Row],[COMPLETION %]],COMPL_STATUS,2,1),"")</f>
        <v/>
      </c>
      <c r="M638" s="47"/>
      <c r="N638" s="47"/>
      <c r="O638" s="46"/>
    </row>
    <row r="639" spans="3:15" s="55" customFormat="1" ht="15">
      <c r="C639" s="54"/>
      <c r="D639" s="54"/>
      <c r="E639" s="53"/>
      <c r="F639" s="53"/>
      <c r="G639" s="52">
        <f>ROUND($C$16*Table5[[#This Row],[Hours]],2)</f>
        <v>0</v>
      </c>
      <c r="H639" s="47"/>
      <c r="I639" s="51"/>
      <c r="J639" s="50"/>
      <c r="K639" s="49"/>
      <c r="L639" s="48" t="str">
        <f>IF(AND(LEN(K639)&gt;0,D639="APPROVED"),VLOOKUP(Table5[[#This Row],[COMPLETION %]],COMPL_STATUS,2,1),"")</f>
        <v/>
      </c>
      <c r="M639" s="47"/>
      <c r="N639" s="47"/>
      <c r="O639" s="46"/>
    </row>
    <row r="640" spans="3:15" s="55" customFormat="1" ht="15">
      <c r="C640" s="54"/>
      <c r="D640" s="54"/>
      <c r="E640" s="53"/>
      <c r="F640" s="53"/>
      <c r="G640" s="52">
        <f>ROUND($C$16*Table5[[#This Row],[Hours]],2)</f>
        <v>0</v>
      </c>
      <c r="H640" s="47"/>
      <c r="I640" s="51"/>
      <c r="J640" s="50"/>
      <c r="K640" s="49"/>
      <c r="L640" s="48" t="str">
        <f>IF(AND(LEN(K640)&gt;0,D640="APPROVED"),VLOOKUP(Table5[[#This Row],[COMPLETION %]],COMPL_STATUS,2,1),"")</f>
        <v/>
      </c>
      <c r="M640" s="47"/>
      <c r="N640" s="47"/>
      <c r="O640" s="46"/>
    </row>
    <row r="641" spans="3:15" s="55" customFormat="1" ht="15">
      <c r="C641" s="54"/>
      <c r="D641" s="54"/>
      <c r="E641" s="53"/>
      <c r="F641" s="53"/>
      <c r="G641" s="52">
        <f>ROUND($C$16*Table5[[#This Row],[Hours]],2)</f>
        <v>0</v>
      </c>
      <c r="H641" s="47"/>
      <c r="I641" s="51"/>
      <c r="J641" s="50"/>
      <c r="K641" s="49"/>
      <c r="L641" s="48" t="str">
        <f>IF(AND(LEN(K641)&gt;0,D641="APPROVED"),VLOOKUP(Table5[[#This Row],[COMPLETION %]],COMPL_STATUS,2,1),"")</f>
        <v/>
      </c>
      <c r="M641" s="47"/>
      <c r="N641" s="47"/>
      <c r="O641" s="46"/>
    </row>
    <row r="642" spans="3:15" s="55" customFormat="1" ht="15">
      <c r="C642" s="54"/>
      <c r="D642" s="54"/>
      <c r="E642" s="53"/>
      <c r="F642" s="53"/>
      <c r="G642" s="52">
        <f>ROUND($C$16*Table5[[#This Row],[Hours]],2)</f>
        <v>0</v>
      </c>
      <c r="H642" s="47"/>
      <c r="I642" s="51"/>
      <c r="J642" s="50"/>
      <c r="K642" s="49"/>
      <c r="L642" s="48" t="str">
        <f>IF(AND(LEN(K642)&gt;0,D642="APPROVED"),VLOOKUP(Table5[[#This Row],[COMPLETION %]],COMPL_STATUS,2,1),"")</f>
        <v/>
      </c>
      <c r="M642" s="47"/>
      <c r="N642" s="47"/>
      <c r="O642" s="46"/>
    </row>
    <row r="643" spans="3:15" s="55" customFormat="1" ht="15">
      <c r="C643" s="54"/>
      <c r="D643" s="54"/>
      <c r="E643" s="53"/>
      <c r="F643" s="53"/>
      <c r="G643" s="52">
        <f>ROUND($C$16*Table5[[#This Row],[Hours]],2)</f>
        <v>0</v>
      </c>
      <c r="H643" s="47"/>
      <c r="I643" s="51"/>
      <c r="J643" s="50"/>
      <c r="K643" s="49"/>
      <c r="L643" s="48" t="str">
        <f>IF(AND(LEN(K643)&gt;0,D643="APPROVED"),VLOOKUP(Table5[[#This Row],[COMPLETION %]],COMPL_STATUS,2,1),"")</f>
        <v/>
      </c>
      <c r="M643" s="47"/>
      <c r="N643" s="47"/>
      <c r="O643" s="46"/>
    </row>
    <row r="644" spans="3:15" s="55" customFormat="1" ht="15">
      <c r="C644" s="54"/>
      <c r="D644" s="54"/>
      <c r="E644" s="53"/>
      <c r="F644" s="53"/>
      <c r="G644" s="52">
        <f>ROUND($C$16*Table5[[#This Row],[Hours]],2)</f>
        <v>0</v>
      </c>
      <c r="H644" s="47"/>
      <c r="I644" s="51"/>
      <c r="J644" s="50"/>
      <c r="K644" s="49"/>
      <c r="L644" s="48" t="str">
        <f>IF(AND(LEN(K644)&gt;0,D644="APPROVED"),VLOOKUP(Table5[[#This Row],[COMPLETION %]],COMPL_STATUS,2,1),"")</f>
        <v/>
      </c>
      <c r="M644" s="47"/>
      <c r="N644" s="47"/>
      <c r="O644" s="46"/>
    </row>
    <row r="645" spans="3:15" s="55" customFormat="1" ht="15">
      <c r="C645" s="54"/>
      <c r="D645" s="54"/>
      <c r="E645" s="53"/>
      <c r="F645" s="53"/>
      <c r="G645" s="52">
        <f>ROUND($C$16*Table5[[#This Row],[Hours]],2)</f>
        <v>0</v>
      </c>
      <c r="H645" s="47"/>
      <c r="I645" s="51"/>
      <c r="J645" s="50"/>
      <c r="K645" s="49"/>
      <c r="L645" s="48" t="str">
        <f>IF(AND(LEN(K645)&gt;0,D645="APPROVED"),VLOOKUP(Table5[[#This Row],[COMPLETION %]],COMPL_STATUS,2,1),"")</f>
        <v/>
      </c>
      <c r="M645" s="47"/>
      <c r="N645" s="47"/>
      <c r="O645" s="46"/>
    </row>
    <row r="646" spans="3:15" s="55" customFormat="1" ht="15">
      <c r="C646" s="54"/>
      <c r="D646" s="54"/>
      <c r="E646" s="53"/>
      <c r="F646" s="53"/>
      <c r="G646" s="52">
        <f>ROUND($C$16*Table5[[#This Row],[Hours]],2)</f>
        <v>0</v>
      </c>
      <c r="H646" s="47"/>
      <c r="I646" s="51"/>
      <c r="J646" s="50"/>
      <c r="K646" s="49"/>
      <c r="L646" s="48" t="str">
        <f>IF(AND(LEN(K646)&gt;0,D646="APPROVED"),VLOOKUP(Table5[[#This Row],[COMPLETION %]],COMPL_STATUS,2,1),"")</f>
        <v/>
      </c>
      <c r="M646" s="47"/>
      <c r="N646" s="47"/>
      <c r="O646" s="46"/>
    </row>
    <row r="647" spans="3:15" s="55" customFormat="1" ht="15">
      <c r="C647" s="54"/>
      <c r="D647" s="54"/>
      <c r="E647" s="53"/>
      <c r="F647" s="53"/>
      <c r="G647" s="52">
        <f>ROUND($C$16*Table5[[#This Row],[Hours]],2)</f>
        <v>0</v>
      </c>
      <c r="H647" s="47"/>
      <c r="I647" s="51"/>
      <c r="J647" s="50"/>
      <c r="K647" s="49"/>
      <c r="L647" s="48" t="str">
        <f>IF(AND(LEN(K647)&gt;0,D647="APPROVED"),VLOOKUP(Table5[[#This Row],[COMPLETION %]],COMPL_STATUS,2,1),"")</f>
        <v/>
      </c>
      <c r="M647" s="47"/>
      <c r="N647" s="47"/>
      <c r="O647" s="46"/>
    </row>
    <row r="648" spans="3:15" s="55" customFormat="1" ht="15">
      <c r="C648" s="54"/>
      <c r="D648" s="54"/>
      <c r="E648" s="53"/>
      <c r="F648" s="53"/>
      <c r="G648" s="52">
        <f>ROUND($C$16*Table5[[#This Row],[Hours]],2)</f>
        <v>0</v>
      </c>
      <c r="H648" s="47"/>
      <c r="I648" s="51"/>
      <c r="J648" s="50"/>
      <c r="K648" s="49"/>
      <c r="L648" s="48" t="str">
        <f>IF(AND(LEN(K648)&gt;0,D648="APPROVED"),VLOOKUP(Table5[[#This Row],[COMPLETION %]],COMPL_STATUS,2,1),"")</f>
        <v/>
      </c>
      <c r="M648" s="47"/>
      <c r="N648" s="47"/>
      <c r="O648" s="46"/>
    </row>
    <row r="649" spans="3:15" s="55" customFormat="1" ht="15">
      <c r="C649" s="54"/>
      <c r="D649" s="54"/>
      <c r="E649" s="53"/>
      <c r="F649" s="53"/>
      <c r="G649" s="52">
        <f>ROUND($C$16*Table5[[#This Row],[Hours]],2)</f>
        <v>0</v>
      </c>
      <c r="H649" s="47"/>
      <c r="I649" s="51"/>
      <c r="J649" s="50"/>
      <c r="K649" s="49"/>
      <c r="L649" s="48" t="str">
        <f>IF(AND(LEN(K649)&gt;0,D649="APPROVED"),VLOOKUP(Table5[[#This Row],[COMPLETION %]],COMPL_STATUS,2,1),"")</f>
        <v/>
      </c>
      <c r="M649" s="47"/>
      <c r="N649" s="47"/>
      <c r="O649" s="46"/>
    </row>
    <row r="650" spans="3:15" s="55" customFormat="1" ht="15">
      <c r="C650" s="54"/>
      <c r="D650" s="54"/>
      <c r="E650" s="53"/>
      <c r="F650" s="53"/>
      <c r="G650" s="52">
        <f>ROUND($C$16*Table5[[#This Row],[Hours]],2)</f>
        <v>0</v>
      </c>
      <c r="H650" s="47"/>
      <c r="I650" s="51"/>
      <c r="J650" s="50"/>
      <c r="K650" s="49"/>
      <c r="L650" s="48" t="str">
        <f>IF(AND(LEN(K650)&gt;0,D650="APPROVED"),VLOOKUP(Table5[[#This Row],[COMPLETION %]],COMPL_STATUS,2,1),"")</f>
        <v/>
      </c>
      <c r="M650" s="47"/>
      <c r="N650" s="47"/>
      <c r="O650" s="46"/>
    </row>
    <row r="651" spans="3:15" s="55" customFormat="1" ht="15">
      <c r="C651" s="54"/>
      <c r="D651" s="54"/>
      <c r="E651" s="53"/>
      <c r="F651" s="53"/>
      <c r="G651" s="52">
        <f>ROUND($C$16*Table5[[#This Row],[Hours]],2)</f>
        <v>0</v>
      </c>
      <c r="H651" s="47"/>
      <c r="I651" s="51"/>
      <c r="J651" s="50"/>
      <c r="K651" s="49"/>
      <c r="L651" s="48" t="str">
        <f>IF(AND(LEN(K651)&gt;0,D651="APPROVED"),VLOOKUP(Table5[[#This Row],[COMPLETION %]],COMPL_STATUS,2,1),"")</f>
        <v/>
      </c>
      <c r="M651" s="47"/>
      <c r="N651" s="47"/>
      <c r="O651" s="46"/>
    </row>
    <row r="652" spans="3:15" s="55" customFormat="1" ht="15">
      <c r="C652" s="54"/>
      <c r="D652" s="54"/>
      <c r="E652" s="53"/>
      <c r="F652" s="53"/>
      <c r="G652" s="52">
        <f>ROUND($C$16*Table5[[#This Row],[Hours]],2)</f>
        <v>0</v>
      </c>
      <c r="H652" s="47"/>
      <c r="I652" s="51"/>
      <c r="J652" s="50"/>
      <c r="K652" s="49"/>
      <c r="L652" s="48" t="str">
        <f>IF(AND(LEN(K652)&gt;0,D652="APPROVED"),VLOOKUP(Table5[[#This Row],[COMPLETION %]],COMPL_STATUS,2,1),"")</f>
        <v/>
      </c>
      <c r="M652" s="47"/>
      <c r="N652" s="47"/>
      <c r="O652" s="46"/>
    </row>
    <row r="653" spans="3:15" s="55" customFormat="1" ht="15">
      <c r="C653" s="54"/>
      <c r="D653" s="54"/>
      <c r="E653" s="53"/>
      <c r="F653" s="53"/>
      <c r="G653" s="52">
        <f>ROUND($C$16*Table5[[#This Row],[Hours]],2)</f>
        <v>0</v>
      </c>
      <c r="H653" s="47"/>
      <c r="I653" s="51"/>
      <c r="J653" s="50"/>
      <c r="K653" s="49"/>
      <c r="L653" s="48" t="str">
        <f>IF(AND(LEN(K653)&gt;0,D653="APPROVED"),VLOOKUP(Table5[[#This Row],[COMPLETION %]],COMPL_STATUS,2,1),"")</f>
        <v/>
      </c>
      <c r="M653" s="47"/>
      <c r="N653" s="47"/>
      <c r="O653" s="46"/>
    </row>
    <row r="654" spans="3:15" s="55" customFormat="1" ht="15">
      <c r="C654" s="54"/>
      <c r="D654" s="54"/>
      <c r="E654" s="53"/>
      <c r="F654" s="53"/>
      <c r="G654" s="52">
        <f>ROUND($C$16*Table5[[#This Row],[Hours]],2)</f>
        <v>0</v>
      </c>
      <c r="H654" s="47"/>
      <c r="I654" s="51"/>
      <c r="J654" s="50"/>
      <c r="K654" s="49"/>
      <c r="L654" s="48" t="str">
        <f>IF(AND(LEN(K654)&gt;0,D654="APPROVED"),VLOOKUP(Table5[[#This Row],[COMPLETION %]],COMPL_STATUS,2,1),"")</f>
        <v/>
      </c>
      <c r="M654" s="47"/>
      <c r="N654" s="47"/>
      <c r="O654" s="46"/>
    </row>
    <row r="655" spans="3:15" s="55" customFormat="1" ht="15">
      <c r="C655" s="54"/>
      <c r="D655" s="54"/>
      <c r="E655" s="53"/>
      <c r="F655" s="53"/>
      <c r="G655" s="52">
        <f>ROUND($C$16*Table5[[#This Row],[Hours]],2)</f>
        <v>0</v>
      </c>
      <c r="H655" s="47"/>
      <c r="I655" s="51"/>
      <c r="J655" s="50"/>
      <c r="K655" s="49"/>
      <c r="L655" s="48" t="str">
        <f>IF(AND(LEN(K655)&gt;0,D655="APPROVED"),VLOOKUP(Table5[[#This Row],[COMPLETION %]],COMPL_STATUS,2,1),"")</f>
        <v/>
      </c>
      <c r="M655" s="47"/>
      <c r="N655" s="47"/>
      <c r="O655" s="46"/>
    </row>
    <row r="656" spans="3:15" s="55" customFormat="1" ht="15">
      <c r="C656" s="54"/>
      <c r="D656" s="54"/>
      <c r="E656" s="53"/>
      <c r="F656" s="53"/>
      <c r="G656" s="52">
        <f>ROUND($C$16*Table5[[#This Row],[Hours]],2)</f>
        <v>0</v>
      </c>
      <c r="H656" s="47"/>
      <c r="I656" s="51"/>
      <c r="J656" s="50"/>
      <c r="K656" s="49"/>
      <c r="L656" s="48" t="str">
        <f>IF(AND(LEN(K656)&gt;0,D656="APPROVED"),VLOOKUP(Table5[[#This Row],[COMPLETION %]],COMPL_STATUS,2,1),"")</f>
        <v/>
      </c>
      <c r="M656" s="47"/>
      <c r="N656" s="47"/>
      <c r="O656" s="46"/>
    </row>
    <row r="657" spans="3:15" s="55" customFormat="1" ht="15">
      <c r="C657" s="54"/>
      <c r="D657" s="54"/>
      <c r="E657" s="53"/>
      <c r="F657" s="53"/>
      <c r="G657" s="52">
        <f>ROUND($C$16*Table5[[#This Row],[Hours]],2)</f>
        <v>0</v>
      </c>
      <c r="H657" s="47"/>
      <c r="I657" s="51"/>
      <c r="J657" s="50"/>
      <c r="K657" s="49"/>
      <c r="L657" s="48" t="str">
        <f>IF(AND(LEN(K657)&gt;0,D657="APPROVED"),VLOOKUP(Table5[[#This Row],[COMPLETION %]],COMPL_STATUS,2,1),"")</f>
        <v/>
      </c>
      <c r="M657" s="47"/>
      <c r="N657" s="47"/>
      <c r="O657" s="46"/>
    </row>
    <row r="658" spans="3:15" s="55" customFormat="1" ht="15">
      <c r="C658" s="54"/>
      <c r="D658" s="54"/>
      <c r="E658" s="53"/>
      <c r="F658" s="53"/>
      <c r="G658" s="52">
        <f>ROUND($C$16*Table5[[#This Row],[Hours]],2)</f>
        <v>0</v>
      </c>
      <c r="H658" s="47"/>
      <c r="I658" s="51"/>
      <c r="J658" s="50"/>
      <c r="K658" s="49"/>
      <c r="L658" s="48" t="str">
        <f>IF(AND(LEN(K658)&gt;0,D658="APPROVED"),VLOOKUP(Table5[[#This Row],[COMPLETION %]],COMPL_STATUS,2,1),"")</f>
        <v/>
      </c>
      <c r="M658" s="47"/>
      <c r="N658" s="47"/>
      <c r="O658" s="46"/>
    </row>
    <row r="659" spans="3:15" s="55" customFormat="1" ht="15">
      <c r="C659" s="54"/>
      <c r="D659" s="54"/>
      <c r="E659" s="53"/>
      <c r="F659" s="53"/>
      <c r="G659" s="52">
        <f>ROUND($C$16*Table5[[#This Row],[Hours]],2)</f>
        <v>0</v>
      </c>
      <c r="H659" s="47"/>
      <c r="I659" s="51"/>
      <c r="J659" s="50"/>
      <c r="K659" s="49"/>
      <c r="L659" s="48" t="str">
        <f>IF(AND(LEN(K659)&gt;0,D659="APPROVED"),VLOOKUP(Table5[[#This Row],[COMPLETION %]],COMPL_STATUS,2,1),"")</f>
        <v/>
      </c>
      <c r="M659" s="47"/>
      <c r="N659" s="47"/>
      <c r="O659" s="46"/>
    </row>
    <row r="660" spans="3:15" s="55" customFormat="1" ht="15">
      <c r="C660" s="54"/>
      <c r="D660" s="54"/>
      <c r="E660" s="53"/>
      <c r="F660" s="53"/>
      <c r="G660" s="52">
        <f>ROUND($C$16*Table5[[#This Row],[Hours]],2)</f>
        <v>0</v>
      </c>
      <c r="H660" s="47"/>
      <c r="I660" s="51"/>
      <c r="J660" s="50"/>
      <c r="K660" s="49"/>
      <c r="L660" s="48" t="str">
        <f>IF(AND(LEN(K660)&gt;0,D660="APPROVED"),VLOOKUP(Table5[[#This Row],[COMPLETION %]],COMPL_STATUS,2,1),"")</f>
        <v/>
      </c>
      <c r="M660" s="47"/>
      <c r="N660" s="47"/>
      <c r="O660" s="46"/>
    </row>
    <row r="661" spans="3:15" s="55" customFormat="1" ht="15">
      <c r="C661" s="54"/>
      <c r="D661" s="54"/>
      <c r="E661" s="53"/>
      <c r="F661" s="53"/>
      <c r="G661" s="52">
        <f>ROUND($C$16*Table5[[#This Row],[Hours]],2)</f>
        <v>0</v>
      </c>
      <c r="H661" s="47"/>
      <c r="I661" s="51"/>
      <c r="J661" s="50"/>
      <c r="K661" s="49"/>
      <c r="L661" s="48" t="str">
        <f>IF(AND(LEN(K661)&gt;0,D661="APPROVED"),VLOOKUP(Table5[[#This Row],[COMPLETION %]],COMPL_STATUS,2,1),"")</f>
        <v/>
      </c>
      <c r="M661" s="47"/>
      <c r="N661" s="47"/>
      <c r="O661" s="46"/>
    </row>
    <row r="662" spans="3:15" s="55" customFormat="1" ht="15">
      <c r="C662" s="54"/>
      <c r="D662" s="54"/>
      <c r="E662" s="53"/>
      <c r="F662" s="53"/>
      <c r="G662" s="52">
        <f>ROUND($C$16*Table5[[#This Row],[Hours]],2)</f>
        <v>0</v>
      </c>
      <c r="H662" s="47"/>
      <c r="I662" s="51"/>
      <c r="J662" s="50"/>
      <c r="K662" s="49"/>
      <c r="L662" s="48" t="str">
        <f>IF(AND(LEN(K662)&gt;0,D662="APPROVED"),VLOOKUP(Table5[[#This Row],[COMPLETION %]],COMPL_STATUS,2,1),"")</f>
        <v/>
      </c>
      <c r="M662" s="47"/>
      <c r="N662" s="47"/>
      <c r="O662" s="46"/>
    </row>
    <row r="663" spans="3:15" s="55" customFormat="1" ht="15">
      <c r="C663" s="54"/>
      <c r="D663" s="54"/>
      <c r="E663" s="53"/>
      <c r="F663" s="53"/>
      <c r="G663" s="52">
        <f>ROUND($C$16*Table5[[#This Row],[Hours]],2)</f>
        <v>0</v>
      </c>
      <c r="H663" s="47"/>
      <c r="I663" s="51"/>
      <c r="J663" s="50"/>
      <c r="K663" s="49"/>
      <c r="L663" s="48" t="str">
        <f>IF(AND(LEN(K663)&gt;0,D663="APPROVED"),VLOOKUP(Table5[[#This Row],[COMPLETION %]],COMPL_STATUS,2,1),"")</f>
        <v/>
      </c>
      <c r="M663" s="47"/>
      <c r="N663" s="47"/>
      <c r="O663" s="46"/>
    </row>
    <row r="664" spans="3:15" s="55" customFormat="1" ht="15">
      <c r="C664" s="54"/>
      <c r="D664" s="54"/>
      <c r="E664" s="53"/>
      <c r="F664" s="53"/>
      <c r="G664" s="52">
        <f>ROUND($C$16*Table5[[#This Row],[Hours]],2)</f>
        <v>0</v>
      </c>
      <c r="H664" s="47"/>
      <c r="I664" s="51"/>
      <c r="J664" s="50"/>
      <c r="K664" s="49"/>
      <c r="L664" s="48" t="str">
        <f>IF(AND(LEN(K664)&gt;0,D664="APPROVED"),VLOOKUP(Table5[[#This Row],[COMPLETION %]],COMPL_STATUS,2,1),"")</f>
        <v/>
      </c>
      <c r="M664" s="47"/>
      <c r="N664" s="47"/>
      <c r="O664" s="46"/>
    </row>
    <row r="665" spans="3:15" s="55" customFormat="1" ht="15">
      <c r="C665" s="54"/>
      <c r="D665" s="54"/>
      <c r="E665" s="53"/>
      <c r="F665" s="53"/>
      <c r="G665" s="52">
        <f>ROUND($C$16*Table5[[#This Row],[Hours]],2)</f>
        <v>0</v>
      </c>
      <c r="H665" s="47"/>
      <c r="I665" s="51"/>
      <c r="J665" s="50"/>
      <c r="K665" s="49"/>
      <c r="L665" s="48" t="str">
        <f>IF(AND(LEN(K665)&gt;0,D665="APPROVED"),VLOOKUP(Table5[[#This Row],[COMPLETION %]],COMPL_STATUS,2,1),"")</f>
        <v/>
      </c>
      <c r="M665" s="47"/>
      <c r="N665" s="47"/>
      <c r="O665" s="46"/>
    </row>
    <row r="666" spans="3:15" s="55" customFormat="1" ht="15">
      <c r="C666" s="54"/>
      <c r="D666" s="54"/>
      <c r="E666" s="53"/>
      <c r="F666" s="53"/>
      <c r="G666" s="52">
        <f>ROUND($C$16*Table5[[#This Row],[Hours]],2)</f>
        <v>0</v>
      </c>
      <c r="H666" s="47"/>
      <c r="I666" s="51"/>
      <c r="J666" s="50"/>
      <c r="K666" s="49"/>
      <c r="L666" s="48" t="str">
        <f>IF(AND(LEN(K666)&gt;0,D666="APPROVED"),VLOOKUP(Table5[[#This Row],[COMPLETION %]],COMPL_STATUS,2,1),"")</f>
        <v/>
      </c>
      <c r="M666" s="47"/>
      <c r="N666" s="47"/>
      <c r="O666" s="46"/>
    </row>
    <row r="667" spans="3:15" s="55" customFormat="1" ht="15">
      <c r="C667" s="54"/>
      <c r="D667" s="54"/>
      <c r="E667" s="53"/>
      <c r="F667" s="53"/>
      <c r="G667" s="52">
        <f>ROUND($C$16*Table5[[#This Row],[Hours]],2)</f>
        <v>0</v>
      </c>
      <c r="H667" s="47"/>
      <c r="I667" s="51"/>
      <c r="J667" s="50"/>
      <c r="K667" s="49"/>
      <c r="L667" s="48" t="str">
        <f>IF(AND(LEN(K667)&gt;0,D667="APPROVED"),VLOOKUP(Table5[[#This Row],[COMPLETION %]],COMPL_STATUS,2,1),"")</f>
        <v/>
      </c>
      <c r="M667" s="47"/>
      <c r="N667" s="47"/>
      <c r="O667" s="46"/>
    </row>
    <row r="668" spans="3:15" s="55" customFormat="1" ht="15">
      <c r="C668" s="54"/>
      <c r="D668" s="54"/>
      <c r="E668" s="53"/>
      <c r="F668" s="53"/>
      <c r="G668" s="52">
        <f>ROUND($C$16*Table5[[#This Row],[Hours]],2)</f>
        <v>0</v>
      </c>
      <c r="H668" s="47"/>
      <c r="I668" s="51"/>
      <c r="J668" s="50"/>
      <c r="K668" s="49"/>
      <c r="L668" s="48" t="str">
        <f>IF(AND(LEN(K668)&gt;0,D668="APPROVED"),VLOOKUP(Table5[[#This Row],[COMPLETION %]],COMPL_STATUS,2,1),"")</f>
        <v/>
      </c>
      <c r="M668" s="47"/>
      <c r="N668" s="47"/>
      <c r="O668" s="46"/>
    </row>
    <row r="669" spans="3:15" s="55" customFormat="1" ht="15">
      <c r="C669" s="54"/>
      <c r="D669" s="54"/>
      <c r="E669" s="53"/>
      <c r="F669" s="53"/>
      <c r="G669" s="52">
        <f>ROUND($C$16*Table5[[#This Row],[Hours]],2)</f>
        <v>0</v>
      </c>
      <c r="H669" s="47"/>
      <c r="I669" s="51"/>
      <c r="J669" s="50"/>
      <c r="K669" s="49"/>
      <c r="L669" s="48" t="str">
        <f>IF(AND(LEN(K669)&gt;0,D669="APPROVED"),VLOOKUP(Table5[[#This Row],[COMPLETION %]],COMPL_STATUS,2,1),"")</f>
        <v/>
      </c>
      <c r="M669" s="47"/>
      <c r="N669" s="47"/>
      <c r="O669" s="46"/>
    </row>
    <row r="670" spans="3:15" s="55" customFormat="1" ht="15">
      <c r="C670" s="54"/>
      <c r="D670" s="54"/>
      <c r="E670" s="53"/>
      <c r="F670" s="53"/>
      <c r="G670" s="52">
        <f>ROUND($C$16*Table5[[#This Row],[Hours]],2)</f>
        <v>0</v>
      </c>
      <c r="H670" s="47"/>
      <c r="I670" s="51"/>
      <c r="J670" s="50"/>
      <c r="K670" s="49"/>
      <c r="L670" s="48" t="str">
        <f>IF(AND(LEN(K670)&gt;0,D670="APPROVED"),VLOOKUP(Table5[[#This Row],[COMPLETION %]],COMPL_STATUS,2,1),"")</f>
        <v/>
      </c>
      <c r="M670" s="47"/>
      <c r="N670" s="47"/>
      <c r="O670" s="46"/>
    </row>
    <row r="671" spans="3:15" s="55" customFormat="1" ht="15">
      <c r="C671" s="54"/>
      <c r="D671" s="54"/>
      <c r="E671" s="53"/>
      <c r="F671" s="53"/>
      <c r="G671" s="52">
        <f>ROUND($C$16*Table5[[#This Row],[Hours]],2)</f>
        <v>0</v>
      </c>
      <c r="H671" s="47"/>
      <c r="I671" s="51"/>
      <c r="J671" s="50"/>
      <c r="K671" s="49"/>
      <c r="L671" s="48" t="str">
        <f>IF(AND(LEN(K671)&gt;0,D671="APPROVED"),VLOOKUP(Table5[[#This Row],[COMPLETION %]],COMPL_STATUS,2,1),"")</f>
        <v/>
      </c>
      <c r="M671" s="47"/>
      <c r="N671" s="47"/>
      <c r="O671" s="46"/>
    </row>
    <row r="672" spans="3:15" s="55" customFormat="1" ht="15">
      <c r="C672" s="54"/>
      <c r="D672" s="54"/>
      <c r="E672" s="53"/>
      <c r="F672" s="53"/>
      <c r="G672" s="52">
        <f>ROUND($C$16*Table5[[#This Row],[Hours]],2)</f>
        <v>0</v>
      </c>
      <c r="H672" s="47"/>
      <c r="I672" s="51"/>
      <c r="J672" s="50"/>
      <c r="K672" s="49"/>
      <c r="L672" s="48" t="str">
        <f>IF(AND(LEN(K672)&gt;0,D672="APPROVED"),VLOOKUP(Table5[[#This Row],[COMPLETION %]],COMPL_STATUS,2,1),"")</f>
        <v/>
      </c>
      <c r="M672" s="47"/>
      <c r="N672" s="47"/>
      <c r="O672" s="46"/>
    </row>
    <row r="673" spans="3:15" s="55" customFormat="1" ht="15">
      <c r="C673" s="54"/>
      <c r="D673" s="54"/>
      <c r="E673" s="53"/>
      <c r="F673" s="53"/>
      <c r="G673" s="52">
        <f>ROUND($C$16*Table5[[#This Row],[Hours]],2)</f>
        <v>0</v>
      </c>
      <c r="H673" s="47"/>
      <c r="I673" s="51"/>
      <c r="J673" s="50"/>
      <c r="K673" s="49"/>
      <c r="L673" s="48" t="str">
        <f>IF(AND(LEN(K673)&gt;0,D673="APPROVED"),VLOOKUP(Table5[[#This Row],[COMPLETION %]],COMPL_STATUS,2,1),"")</f>
        <v/>
      </c>
      <c r="M673" s="47"/>
      <c r="N673" s="47"/>
      <c r="O673" s="46"/>
    </row>
    <row r="674" spans="3:15" s="55" customFormat="1" ht="15">
      <c r="C674" s="54"/>
      <c r="D674" s="54"/>
      <c r="E674" s="53"/>
      <c r="F674" s="53"/>
      <c r="G674" s="52">
        <f>ROUND($C$16*Table5[[#This Row],[Hours]],2)</f>
        <v>0</v>
      </c>
      <c r="H674" s="47"/>
      <c r="I674" s="51"/>
      <c r="J674" s="50"/>
      <c r="K674" s="49"/>
      <c r="L674" s="48" t="str">
        <f>IF(AND(LEN(K674)&gt;0,D674="APPROVED"),VLOOKUP(Table5[[#This Row],[COMPLETION %]],COMPL_STATUS,2,1),"")</f>
        <v/>
      </c>
      <c r="M674" s="47"/>
      <c r="N674" s="47"/>
      <c r="O674" s="46"/>
    </row>
    <row r="675" spans="3:15" s="55" customFormat="1" ht="15">
      <c r="C675" s="54"/>
      <c r="D675" s="54"/>
      <c r="E675" s="53"/>
      <c r="F675" s="53"/>
      <c r="G675" s="52">
        <f>ROUND($C$16*Table5[[#This Row],[Hours]],2)</f>
        <v>0</v>
      </c>
      <c r="H675" s="47"/>
      <c r="I675" s="51"/>
      <c r="J675" s="50"/>
      <c r="K675" s="49"/>
      <c r="L675" s="48" t="str">
        <f>IF(AND(LEN(K675)&gt;0,D675="APPROVED"),VLOOKUP(Table5[[#This Row],[COMPLETION %]],COMPL_STATUS,2,1),"")</f>
        <v/>
      </c>
      <c r="M675" s="47"/>
      <c r="N675" s="47"/>
      <c r="O675" s="46"/>
    </row>
    <row r="676" spans="3:15" s="55" customFormat="1" ht="15">
      <c r="C676" s="54"/>
      <c r="D676" s="54"/>
      <c r="E676" s="53"/>
      <c r="F676" s="53"/>
      <c r="G676" s="52">
        <f>ROUND($C$16*Table5[[#This Row],[Hours]],2)</f>
        <v>0</v>
      </c>
      <c r="H676" s="47"/>
      <c r="I676" s="51"/>
      <c r="J676" s="50"/>
      <c r="K676" s="49"/>
      <c r="L676" s="48" t="str">
        <f>IF(AND(LEN(K676)&gt;0,D676="APPROVED"),VLOOKUP(Table5[[#This Row],[COMPLETION %]],COMPL_STATUS,2,1),"")</f>
        <v/>
      </c>
      <c r="M676" s="47"/>
      <c r="N676" s="47"/>
      <c r="O676" s="46"/>
    </row>
    <row r="677" spans="3:15" s="55" customFormat="1" ht="15">
      <c r="C677" s="54"/>
      <c r="D677" s="54"/>
      <c r="E677" s="53"/>
      <c r="F677" s="53"/>
      <c r="G677" s="52">
        <f>ROUND($C$16*Table5[[#This Row],[Hours]],2)</f>
        <v>0</v>
      </c>
      <c r="H677" s="47"/>
      <c r="I677" s="51"/>
      <c r="J677" s="50"/>
      <c r="K677" s="49"/>
      <c r="L677" s="48" t="str">
        <f>IF(AND(LEN(K677)&gt;0,D677="APPROVED"),VLOOKUP(Table5[[#This Row],[COMPLETION %]],COMPL_STATUS,2,1),"")</f>
        <v/>
      </c>
      <c r="M677" s="47"/>
      <c r="N677" s="47"/>
      <c r="O677" s="46"/>
    </row>
    <row r="678" spans="3:15" s="55" customFormat="1" ht="15">
      <c r="C678" s="54"/>
      <c r="D678" s="54"/>
      <c r="E678" s="53"/>
      <c r="F678" s="53"/>
      <c r="G678" s="52">
        <f>ROUND($C$16*Table5[[#This Row],[Hours]],2)</f>
        <v>0</v>
      </c>
      <c r="H678" s="47"/>
      <c r="I678" s="51"/>
      <c r="J678" s="50"/>
      <c r="K678" s="49"/>
      <c r="L678" s="48" t="str">
        <f>IF(AND(LEN(K678)&gt;0,D678="APPROVED"),VLOOKUP(Table5[[#This Row],[COMPLETION %]],COMPL_STATUS,2,1),"")</f>
        <v/>
      </c>
      <c r="M678" s="47"/>
      <c r="N678" s="47"/>
      <c r="O678" s="46"/>
    </row>
    <row r="679" spans="3:15" s="55" customFormat="1" ht="15">
      <c r="C679" s="54"/>
      <c r="D679" s="54"/>
      <c r="E679" s="53"/>
      <c r="F679" s="53"/>
      <c r="G679" s="52">
        <f>ROUND($C$16*Table5[[#This Row],[Hours]],2)</f>
        <v>0</v>
      </c>
      <c r="H679" s="47"/>
      <c r="I679" s="51"/>
      <c r="J679" s="50"/>
      <c r="K679" s="49"/>
      <c r="L679" s="48" t="str">
        <f>IF(AND(LEN(K679)&gt;0,D679="APPROVED"),VLOOKUP(Table5[[#This Row],[COMPLETION %]],COMPL_STATUS,2,1),"")</f>
        <v/>
      </c>
      <c r="M679" s="47"/>
      <c r="N679" s="47"/>
      <c r="O679" s="46"/>
    </row>
    <row r="680" spans="3:15" s="55" customFormat="1" ht="15">
      <c r="C680" s="54"/>
      <c r="D680" s="54"/>
      <c r="E680" s="53"/>
      <c r="F680" s="53"/>
      <c r="G680" s="52">
        <f>ROUND($C$16*Table5[[#This Row],[Hours]],2)</f>
        <v>0</v>
      </c>
      <c r="H680" s="47"/>
      <c r="I680" s="51"/>
      <c r="J680" s="50"/>
      <c r="K680" s="49"/>
      <c r="L680" s="48" t="str">
        <f>IF(AND(LEN(K680)&gt;0,D680="APPROVED"),VLOOKUP(Table5[[#This Row],[COMPLETION %]],COMPL_STATUS,2,1),"")</f>
        <v/>
      </c>
      <c r="M680" s="47"/>
      <c r="N680" s="47"/>
      <c r="O680" s="46"/>
    </row>
    <row r="681" spans="3:15" s="55" customFormat="1" ht="15">
      <c r="C681" s="54"/>
      <c r="D681" s="54"/>
      <c r="E681" s="53"/>
      <c r="F681" s="53"/>
      <c r="G681" s="52">
        <f>ROUND($C$16*Table5[[#This Row],[Hours]],2)</f>
        <v>0</v>
      </c>
      <c r="H681" s="47"/>
      <c r="I681" s="51"/>
      <c r="J681" s="50"/>
      <c r="K681" s="49"/>
      <c r="L681" s="48" t="str">
        <f>IF(AND(LEN(K681)&gt;0,D681="APPROVED"),VLOOKUP(Table5[[#This Row],[COMPLETION %]],COMPL_STATUS,2,1),"")</f>
        <v/>
      </c>
      <c r="M681" s="47"/>
      <c r="N681" s="47"/>
      <c r="O681" s="46"/>
    </row>
    <row r="682" spans="3:15" s="55" customFormat="1" ht="15">
      <c r="C682" s="54"/>
      <c r="D682" s="54"/>
      <c r="E682" s="53"/>
      <c r="F682" s="53"/>
      <c r="G682" s="52">
        <f>ROUND($C$16*Table5[[#This Row],[Hours]],2)</f>
        <v>0</v>
      </c>
      <c r="H682" s="47"/>
      <c r="I682" s="51"/>
      <c r="J682" s="50"/>
      <c r="K682" s="49"/>
      <c r="L682" s="48" t="str">
        <f>IF(AND(LEN(K682)&gt;0,D682="APPROVED"),VLOOKUP(Table5[[#This Row],[COMPLETION %]],COMPL_STATUS,2,1),"")</f>
        <v/>
      </c>
      <c r="M682" s="47"/>
      <c r="N682" s="47"/>
      <c r="O682" s="46"/>
    </row>
    <row r="683" spans="3:15" s="55" customFormat="1" ht="15">
      <c r="C683" s="54"/>
      <c r="D683" s="54"/>
      <c r="E683" s="53"/>
      <c r="F683" s="53"/>
      <c r="G683" s="52">
        <f>ROUND($C$16*Table5[[#This Row],[Hours]],2)</f>
        <v>0</v>
      </c>
      <c r="H683" s="47"/>
      <c r="I683" s="51"/>
      <c r="J683" s="50"/>
      <c r="K683" s="49"/>
      <c r="L683" s="48" t="str">
        <f>IF(AND(LEN(K683)&gt;0,D683="APPROVED"),VLOOKUP(Table5[[#This Row],[COMPLETION %]],COMPL_STATUS,2,1),"")</f>
        <v/>
      </c>
      <c r="M683" s="47"/>
      <c r="N683" s="47"/>
      <c r="O683" s="46"/>
    </row>
    <row r="684" spans="3:15" s="55" customFormat="1" ht="15">
      <c r="C684" s="54"/>
      <c r="D684" s="54"/>
      <c r="E684" s="53"/>
      <c r="F684" s="53"/>
      <c r="G684" s="52">
        <f>ROUND($C$16*Table5[[#This Row],[Hours]],2)</f>
        <v>0</v>
      </c>
      <c r="H684" s="47"/>
      <c r="I684" s="51"/>
      <c r="J684" s="50"/>
      <c r="K684" s="49"/>
      <c r="L684" s="48" t="str">
        <f>IF(AND(LEN(K684)&gt;0,D684="APPROVED"),VLOOKUP(Table5[[#This Row],[COMPLETION %]],COMPL_STATUS,2,1),"")</f>
        <v/>
      </c>
      <c r="M684" s="47"/>
      <c r="N684" s="47"/>
      <c r="O684" s="46"/>
    </row>
    <row r="685" spans="3:15" s="55" customFormat="1" ht="15">
      <c r="C685" s="54"/>
      <c r="D685" s="54"/>
      <c r="E685" s="53"/>
      <c r="F685" s="53"/>
      <c r="G685" s="52">
        <f>ROUND($C$16*Table5[[#This Row],[Hours]],2)</f>
        <v>0</v>
      </c>
      <c r="H685" s="47"/>
      <c r="I685" s="51"/>
      <c r="J685" s="50"/>
      <c r="K685" s="49"/>
      <c r="L685" s="48" t="str">
        <f>IF(AND(LEN(K685)&gt;0,D685="APPROVED"),VLOOKUP(Table5[[#This Row],[COMPLETION %]],COMPL_STATUS,2,1),"")</f>
        <v/>
      </c>
      <c r="M685" s="47"/>
      <c r="N685" s="47"/>
      <c r="O685" s="46"/>
    </row>
    <row r="686" spans="3:15" s="55" customFormat="1" ht="15">
      <c r="C686" s="54"/>
      <c r="D686" s="54"/>
      <c r="E686" s="53"/>
      <c r="F686" s="53"/>
      <c r="G686" s="52">
        <f>ROUND($C$16*Table5[[#This Row],[Hours]],2)</f>
        <v>0</v>
      </c>
      <c r="H686" s="47"/>
      <c r="I686" s="51"/>
      <c r="J686" s="50"/>
      <c r="K686" s="49"/>
      <c r="L686" s="48" t="str">
        <f>IF(AND(LEN(K686)&gt;0,D686="APPROVED"),VLOOKUP(Table5[[#This Row],[COMPLETION %]],COMPL_STATUS,2,1),"")</f>
        <v/>
      </c>
      <c r="M686" s="47"/>
      <c r="N686" s="47"/>
      <c r="O686" s="46"/>
    </row>
    <row r="687" spans="3:15" s="55" customFormat="1" ht="15">
      <c r="C687" s="54"/>
      <c r="D687" s="54"/>
      <c r="E687" s="53"/>
      <c r="F687" s="53"/>
      <c r="G687" s="52">
        <f>ROUND($C$16*Table5[[#This Row],[Hours]],2)</f>
        <v>0</v>
      </c>
      <c r="H687" s="47"/>
      <c r="I687" s="51"/>
      <c r="J687" s="50"/>
      <c r="K687" s="49"/>
      <c r="L687" s="48" t="str">
        <f>IF(AND(LEN(K687)&gt;0,D687="APPROVED"),VLOOKUP(Table5[[#This Row],[COMPLETION %]],COMPL_STATUS,2,1),"")</f>
        <v/>
      </c>
      <c r="M687" s="47"/>
      <c r="N687" s="47"/>
      <c r="O687" s="46"/>
    </row>
    <row r="688" spans="3:15" s="55" customFormat="1" ht="15">
      <c r="C688" s="54"/>
      <c r="D688" s="54"/>
      <c r="E688" s="53"/>
      <c r="F688" s="53"/>
      <c r="G688" s="52">
        <f>ROUND($C$16*Table5[[#This Row],[Hours]],2)</f>
        <v>0</v>
      </c>
      <c r="H688" s="47"/>
      <c r="I688" s="51"/>
      <c r="J688" s="50"/>
      <c r="K688" s="49"/>
      <c r="L688" s="48" t="str">
        <f>IF(AND(LEN(K688)&gt;0,D688="APPROVED"),VLOOKUP(Table5[[#This Row],[COMPLETION %]],COMPL_STATUS,2,1),"")</f>
        <v/>
      </c>
      <c r="M688" s="47"/>
      <c r="N688" s="47"/>
      <c r="O688" s="46"/>
    </row>
    <row r="689" spans="3:15" s="55" customFormat="1" ht="15">
      <c r="C689" s="54"/>
      <c r="D689" s="54"/>
      <c r="E689" s="53"/>
      <c r="F689" s="53"/>
      <c r="G689" s="52">
        <f>ROUND($C$16*Table5[[#This Row],[Hours]],2)</f>
        <v>0</v>
      </c>
      <c r="H689" s="47"/>
      <c r="I689" s="51"/>
      <c r="J689" s="50"/>
      <c r="K689" s="49"/>
      <c r="L689" s="48" t="str">
        <f>IF(AND(LEN(K689)&gt;0,D689="APPROVED"),VLOOKUP(Table5[[#This Row],[COMPLETION %]],COMPL_STATUS,2,1),"")</f>
        <v/>
      </c>
      <c r="M689" s="47"/>
      <c r="N689" s="47"/>
      <c r="O689" s="46"/>
    </row>
    <row r="690" spans="3:15" s="55" customFormat="1" ht="15">
      <c r="C690" s="54"/>
      <c r="D690" s="54"/>
      <c r="E690" s="53"/>
      <c r="F690" s="53"/>
      <c r="G690" s="52">
        <f>ROUND($C$16*Table5[[#This Row],[Hours]],2)</f>
        <v>0</v>
      </c>
      <c r="H690" s="47"/>
      <c r="I690" s="51"/>
      <c r="J690" s="50"/>
      <c r="K690" s="49"/>
      <c r="L690" s="48" t="str">
        <f>IF(AND(LEN(K690)&gt;0,D690="APPROVED"),VLOOKUP(Table5[[#This Row],[COMPLETION %]],COMPL_STATUS,2,1),"")</f>
        <v/>
      </c>
      <c r="M690" s="47"/>
      <c r="N690" s="47"/>
      <c r="O690" s="46"/>
    </row>
    <row r="691" spans="3:15" s="55" customFormat="1" ht="15">
      <c r="C691" s="54"/>
      <c r="D691" s="54"/>
      <c r="E691" s="53"/>
      <c r="F691" s="53"/>
      <c r="G691" s="52">
        <f>ROUND($C$16*Table5[[#This Row],[Hours]],2)</f>
        <v>0</v>
      </c>
      <c r="H691" s="47"/>
      <c r="I691" s="51"/>
      <c r="J691" s="50"/>
      <c r="K691" s="49"/>
      <c r="L691" s="48" t="str">
        <f>IF(AND(LEN(K691)&gt;0,D691="APPROVED"),VLOOKUP(Table5[[#This Row],[COMPLETION %]],COMPL_STATUS,2,1),"")</f>
        <v/>
      </c>
      <c r="M691" s="47"/>
      <c r="N691" s="47"/>
      <c r="O691" s="46"/>
    </row>
    <row r="692" spans="3:15" s="55" customFormat="1" ht="15">
      <c r="C692" s="54"/>
      <c r="D692" s="54"/>
      <c r="E692" s="53"/>
      <c r="F692" s="53"/>
      <c r="G692" s="52">
        <f>ROUND($C$16*Table5[[#This Row],[Hours]],2)</f>
        <v>0</v>
      </c>
      <c r="H692" s="47"/>
      <c r="I692" s="51"/>
      <c r="J692" s="50"/>
      <c r="K692" s="49"/>
      <c r="L692" s="48" t="str">
        <f>IF(AND(LEN(K692)&gt;0,D692="APPROVED"),VLOOKUP(Table5[[#This Row],[COMPLETION %]],COMPL_STATUS,2,1),"")</f>
        <v/>
      </c>
      <c r="M692" s="47"/>
      <c r="N692" s="47"/>
      <c r="O692" s="46"/>
    </row>
    <row r="693" spans="3:15" s="55" customFormat="1" ht="15">
      <c r="C693" s="54"/>
      <c r="D693" s="54"/>
      <c r="E693" s="53"/>
      <c r="F693" s="53"/>
      <c r="G693" s="52">
        <f>ROUND($C$16*Table5[[#This Row],[Hours]],2)</f>
        <v>0</v>
      </c>
      <c r="H693" s="47"/>
      <c r="I693" s="51"/>
      <c r="J693" s="50"/>
      <c r="K693" s="49"/>
      <c r="L693" s="48" t="str">
        <f>IF(AND(LEN(K693)&gt;0,D693="APPROVED"),VLOOKUP(Table5[[#This Row],[COMPLETION %]],COMPL_STATUS,2,1),"")</f>
        <v/>
      </c>
      <c r="M693" s="47"/>
      <c r="N693" s="47"/>
      <c r="O693" s="46"/>
    </row>
    <row r="694" spans="3:15" s="55" customFormat="1" ht="15">
      <c r="C694" s="54"/>
      <c r="D694" s="54"/>
      <c r="E694" s="53"/>
      <c r="F694" s="53"/>
      <c r="G694" s="52">
        <f>ROUND($C$16*Table5[[#This Row],[Hours]],2)</f>
        <v>0</v>
      </c>
      <c r="H694" s="47"/>
      <c r="I694" s="51"/>
      <c r="J694" s="50"/>
      <c r="K694" s="49"/>
      <c r="L694" s="48" t="str">
        <f>IF(AND(LEN(K694)&gt;0,D694="APPROVED"),VLOOKUP(Table5[[#This Row],[COMPLETION %]],COMPL_STATUS,2,1),"")</f>
        <v/>
      </c>
      <c r="M694" s="47"/>
      <c r="N694" s="47"/>
      <c r="O694" s="46"/>
    </row>
    <row r="695" spans="3:15" s="55" customFormat="1" ht="15">
      <c r="C695" s="54"/>
      <c r="D695" s="54"/>
      <c r="E695" s="53"/>
      <c r="F695" s="53"/>
      <c r="G695" s="52">
        <f>ROUND($C$16*Table5[[#This Row],[Hours]],2)</f>
        <v>0</v>
      </c>
      <c r="H695" s="47"/>
      <c r="I695" s="51"/>
      <c r="J695" s="50"/>
      <c r="K695" s="49"/>
      <c r="L695" s="48" t="str">
        <f>IF(AND(LEN(K695)&gt;0,D695="APPROVED"),VLOOKUP(Table5[[#This Row],[COMPLETION %]],COMPL_STATUS,2,1),"")</f>
        <v/>
      </c>
      <c r="M695" s="47"/>
      <c r="N695" s="47"/>
      <c r="O695" s="46"/>
    </row>
    <row r="696" spans="3:15" s="55" customFormat="1" ht="15">
      <c r="C696" s="54"/>
      <c r="D696" s="54"/>
      <c r="E696" s="53"/>
      <c r="F696" s="53"/>
      <c r="G696" s="52">
        <f>ROUND($C$16*Table5[[#This Row],[Hours]],2)</f>
        <v>0</v>
      </c>
      <c r="H696" s="47"/>
      <c r="I696" s="51"/>
      <c r="J696" s="50"/>
      <c r="K696" s="49"/>
      <c r="L696" s="48" t="str">
        <f>IF(AND(LEN(K696)&gt;0,D696="APPROVED"),VLOOKUP(Table5[[#This Row],[COMPLETION %]],COMPL_STATUS,2,1),"")</f>
        <v/>
      </c>
      <c r="M696" s="47"/>
      <c r="N696" s="47"/>
      <c r="O696" s="46"/>
    </row>
    <row r="697" spans="3:15" s="55" customFormat="1" ht="15">
      <c r="C697" s="54"/>
      <c r="D697" s="54"/>
      <c r="E697" s="53"/>
      <c r="F697" s="53"/>
      <c r="G697" s="52">
        <f>ROUND($C$16*Table5[[#This Row],[Hours]],2)</f>
        <v>0</v>
      </c>
      <c r="H697" s="47"/>
      <c r="I697" s="51"/>
      <c r="J697" s="50"/>
      <c r="K697" s="49"/>
      <c r="L697" s="48" t="str">
        <f>IF(AND(LEN(K697)&gt;0,D697="APPROVED"),VLOOKUP(Table5[[#This Row],[COMPLETION %]],COMPL_STATUS,2,1),"")</f>
        <v/>
      </c>
      <c r="M697" s="47"/>
      <c r="N697" s="47"/>
      <c r="O697" s="46"/>
    </row>
    <row r="698" spans="3:15" s="55" customFormat="1" ht="15">
      <c r="C698" s="54"/>
      <c r="D698" s="54"/>
      <c r="E698" s="53"/>
      <c r="F698" s="53"/>
      <c r="G698" s="52">
        <f>ROUND($C$16*Table5[[#This Row],[Hours]],2)</f>
        <v>0</v>
      </c>
      <c r="H698" s="47"/>
      <c r="I698" s="51"/>
      <c r="J698" s="50"/>
      <c r="K698" s="49"/>
      <c r="L698" s="48" t="str">
        <f>IF(AND(LEN(K698)&gt;0,D698="APPROVED"),VLOOKUP(Table5[[#This Row],[COMPLETION %]],COMPL_STATUS,2,1),"")</f>
        <v/>
      </c>
      <c r="M698" s="47"/>
      <c r="N698" s="47"/>
      <c r="O698" s="46"/>
    </row>
    <row r="699" spans="3:15" s="55" customFormat="1" ht="15">
      <c r="C699" s="54"/>
      <c r="D699" s="54"/>
      <c r="E699" s="53"/>
      <c r="F699" s="53"/>
      <c r="G699" s="52">
        <f>ROUND($C$16*Table5[[#This Row],[Hours]],2)</f>
        <v>0</v>
      </c>
      <c r="H699" s="47"/>
      <c r="I699" s="51"/>
      <c r="J699" s="50"/>
      <c r="K699" s="49"/>
      <c r="L699" s="48" t="str">
        <f>IF(AND(LEN(K699)&gt;0,D699="APPROVED"),VLOOKUP(Table5[[#This Row],[COMPLETION %]],COMPL_STATUS,2,1),"")</f>
        <v/>
      </c>
      <c r="M699" s="47"/>
      <c r="N699" s="47"/>
      <c r="O699" s="46"/>
    </row>
    <row r="700" spans="3:15" s="55" customFormat="1" ht="15">
      <c r="C700" s="54"/>
      <c r="D700" s="54"/>
      <c r="E700" s="53"/>
      <c r="F700" s="53"/>
      <c r="G700" s="52">
        <f>ROUND($C$16*Table5[[#This Row],[Hours]],2)</f>
        <v>0</v>
      </c>
      <c r="H700" s="47"/>
      <c r="I700" s="51"/>
      <c r="J700" s="50"/>
      <c r="K700" s="49"/>
      <c r="L700" s="48" t="str">
        <f>IF(AND(LEN(K700)&gt;0,D700="APPROVED"),VLOOKUP(Table5[[#This Row],[COMPLETION %]],COMPL_STATUS,2,1),"")</f>
        <v/>
      </c>
      <c r="M700" s="47"/>
      <c r="N700" s="47"/>
      <c r="O700" s="46"/>
    </row>
    <row r="701" spans="3:15" s="55" customFormat="1" ht="15">
      <c r="C701" s="54"/>
      <c r="D701" s="54"/>
      <c r="E701" s="53"/>
      <c r="F701" s="53"/>
      <c r="G701" s="52">
        <f>ROUND($C$16*Table5[[#This Row],[Hours]],2)</f>
        <v>0</v>
      </c>
      <c r="H701" s="47"/>
      <c r="I701" s="51"/>
      <c r="J701" s="50"/>
      <c r="K701" s="49"/>
      <c r="L701" s="48" t="str">
        <f>IF(AND(LEN(K701)&gt;0,D701="APPROVED"),VLOOKUP(Table5[[#This Row],[COMPLETION %]],COMPL_STATUS,2,1),"")</f>
        <v/>
      </c>
      <c r="M701" s="47"/>
      <c r="N701" s="47"/>
      <c r="O701" s="46"/>
    </row>
    <row r="702" spans="3:15" s="55" customFormat="1" ht="15">
      <c r="C702" s="54"/>
      <c r="D702" s="54"/>
      <c r="E702" s="53"/>
      <c r="F702" s="53"/>
      <c r="G702" s="52">
        <f>ROUND($C$16*Table5[[#This Row],[Hours]],2)</f>
        <v>0</v>
      </c>
      <c r="H702" s="47"/>
      <c r="I702" s="51"/>
      <c r="J702" s="50"/>
      <c r="K702" s="49"/>
      <c r="L702" s="48" t="str">
        <f>IF(AND(LEN(K702)&gt;0,D702="APPROVED"),VLOOKUP(Table5[[#This Row],[COMPLETION %]],COMPL_STATUS,2,1),"")</f>
        <v/>
      </c>
      <c r="M702" s="47"/>
      <c r="N702" s="47"/>
      <c r="O702" s="46"/>
    </row>
    <row r="703" spans="3:15" s="55" customFormat="1" ht="15">
      <c r="C703" s="54"/>
      <c r="D703" s="54"/>
      <c r="E703" s="53"/>
      <c r="F703" s="53"/>
      <c r="G703" s="52">
        <f>ROUND($C$16*Table5[[#This Row],[Hours]],2)</f>
        <v>0</v>
      </c>
      <c r="H703" s="47"/>
      <c r="I703" s="51"/>
      <c r="J703" s="50"/>
      <c r="K703" s="49"/>
      <c r="L703" s="48" t="str">
        <f>IF(AND(LEN(K703)&gt;0,D703="APPROVED"),VLOOKUP(Table5[[#This Row],[COMPLETION %]],COMPL_STATUS,2,1),"")</f>
        <v/>
      </c>
      <c r="M703" s="47"/>
      <c r="N703" s="47"/>
      <c r="O703" s="46"/>
    </row>
    <row r="704" spans="3:15" s="55" customFormat="1" ht="15">
      <c r="C704" s="54"/>
      <c r="D704" s="54"/>
      <c r="E704" s="53"/>
      <c r="F704" s="53"/>
      <c r="G704" s="52">
        <f>ROUND($C$16*Table5[[#This Row],[Hours]],2)</f>
        <v>0</v>
      </c>
      <c r="H704" s="47"/>
      <c r="I704" s="51"/>
      <c r="J704" s="50"/>
      <c r="K704" s="49"/>
      <c r="L704" s="48" t="str">
        <f>IF(AND(LEN(K704)&gt;0,D704="APPROVED"),VLOOKUP(Table5[[#This Row],[COMPLETION %]],COMPL_STATUS,2,1),"")</f>
        <v/>
      </c>
      <c r="M704" s="47"/>
      <c r="N704" s="47"/>
      <c r="O704" s="46"/>
    </row>
    <row r="705" spans="3:15" s="55" customFormat="1" ht="15">
      <c r="C705" s="54"/>
      <c r="D705" s="54"/>
      <c r="E705" s="53"/>
      <c r="F705" s="53"/>
      <c r="G705" s="52">
        <f>ROUND($C$16*Table5[[#This Row],[Hours]],2)</f>
        <v>0</v>
      </c>
      <c r="H705" s="47"/>
      <c r="I705" s="51"/>
      <c r="J705" s="50"/>
      <c r="K705" s="49"/>
      <c r="L705" s="48" t="str">
        <f>IF(AND(LEN(K705)&gt;0,D705="APPROVED"),VLOOKUP(Table5[[#This Row],[COMPLETION %]],COMPL_STATUS,2,1),"")</f>
        <v/>
      </c>
      <c r="M705" s="47"/>
      <c r="N705" s="47"/>
      <c r="O705" s="46"/>
    </row>
    <row r="706" spans="3:15" s="55" customFormat="1" ht="15">
      <c r="C706" s="54"/>
      <c r="D706" s="54"/>
      <c r="E706" s="53"/>
      <c r="F706" s="53"/>
      <c r="G706" s="52">
        <f>ROUND($C$16*Table5[[#This Row],[Hours]],2)</f>
        <v>0</v>
      </c>
      <c r="H706" s="47"/>
      <c r="I706" s="51"/>
      <c r="J706" s="50"/>
      <c r="K706" s="49"/>
      <c r="L706" s="48" t="str">
        <f>IF(AND(LEN(K706)&gt;0,D706="APPROVED"),VLOOKUP(Table5[[#This Row],[COMPLETION %]],COMPL_STATUS,2,1),"")</f>
        <v/>
      </c>
      <c r="M706" s="47"/>
      <c r="N706" s="47"/>
      <c r="O706" s="46"/>
    </row>
    <row r="707" spans="3:15" s="55" customFormat="1" ht="15">
      <c r="C707" s="54"/>
      <c r="D707" s="54"/>
      <c r="E707" s="53"/>
      <c r="F707" s="53"/>
      <c r="G707" s="52">
        <f>ROUND($C$16*Table5[[#This Row],[Hours]],2)</f>
        <v>0</v>
      </c>
      <c r="H707" s="47"/>
      <c r="I707" s="51"/>
      <c r="J707" s="50"/>
      <c r="K707" s="49"/>
      <c r="L707" s="48" t="str">
        <f>IF(AND(LEN(K707)&gt;0,D707="APPROVED"),VLOOKUP(Table5[[#This Row],[COMPLETION %]],COMPL_STATUS,2,1),"")</f>
        <v/>
      </c>
      <c r="M707" s="47"/>
      <c r="N707" s="47"/>
      <c r="O707" s="46"/>
    </row>
    <row r="708" spans="3:15" s="55" customFormat="1" ht="15">
      <c r="C708" s="54"/>
      <c r="D708" s="54"/>
      <c r="E708" s="53"/>
      <c r="F708" s="53"/>
      <c r="G708" s="52">
        <f>ROUND($C$16*Table5[[#This Row],[Hours]],2)</f>
        <v>0</v>
      </c>
      <c r="H708" s="47"/>
      <c r="I708" s="51"/>
      <c r="J708" s="50"/>
      <c r="K708" s="49"/>
      <c r="L708" s="48" t="str">
        <f>IF(AND(LEN(K708)&gt;0,D708="APPROVED"),VLOOKUP(Table5[[#This Row],[COMPLETION %]],COMPL_STATUS,2,1),"")</f>
        <v/>
      </c>
      <c r="M708" s="47"/>
      <c r="N708" s="47"/>
      <c r="O708" s="46"/>
    </row>
    <row r="709" spans="3:15" s="55" customFormat="1" ht="15">
      <c r="C709" s="54"/>
      <c r="D709" s="54"/>
      <c r="E709" s="53"/>
      <c r="F709" s="53"/>
      <c r="G709" s="52">
        <f>ROUND($C$16*Table5[[#This Row],[Hours]],2)</f>
        <v>0</v>
      </c>
      <c r="H709" s="47"/>
      <c r="I709" s="51"/>
      <c r="J709" s="50"/>
      <c r="K709" s="49"/>
      <c r="L709" s="48" t="str">
        <f>IF(AND(LEN(K709)&gt;0,D709="APPROVED"),VLOOKUP(Table5[[#This Row],[COMPLETION %]],COMPL_STATUS,2,1),"")</f>
        <v/>
      </c>
      <c r="M709" s="47"/>
      <c r="N709" s="47"/>
      <c r="O709" s="46"/>
    </row>
    <row r="710" spans="3:15" s="55" customFormat="1" ht="15">
      <c r="C710" s="54"/>
      <c r="D710" s="54"/>
      <c r="E710" s="53"/>
      <c r="F710" s="53"/>
      <c r="G710" s="52">
        <f>ROUND($C$16*Table5[[#This Row],[Hours]],2)</f>
        <v>0</v>
      </c>
      <c r="H710" s="47"/>
      <c r="I710" s="51"/>
      <c r="J710" s="50"/>
      <c r="K710" s="49"/>
      <c r="L710" s="48" t="str">
        <f>IF(AND(LEN(K710)&gt;0,D710="APPROVED"),VLOOKUP(Table5[[#This Row],[COMPLETION %]],COMPL_STATUS,2,1),"")</f>
        <v/>
      </c>
      <c r="M710" s="47"/>
      <c r="N710" s="47"/>
      <c r="O710" s="46"/>
    </row>
    <row r="711" spans="3:15" s="55" customFormat="1" ht="15">
      <c r="C711" s="54"/>
      <c r="D711" s="54"/>
      <c r="E711" s="53"/>
      <c r="F711" s="53"/>
      <c r="G711" s="52">
        <f>ROUND($C$16*Table5[[#This Row],[Hours]],2)</f>
        <v>0</v>
      </c>
      <c r="H711" s="47"/>
      <c r="I711" s="51"/>
      <c r="J711" s="50"/>
      <c r="K711" s="49"/>
      <c r="L711" s="48" t="str">
        <f>IF(AND(LEN(K711)&gt;0,D711="APPROVED"),VLOOKUP(Table5[[#This Row],[COMPLETION %]],COMPL_STATUS,2,1),"")</f>
        <v/>
      </c>
      <c r="M711" s="47"/>
      <c r="N711" s="47"/>
      <c r="O711" s="46"/>
    </row>
    <row r="712" spans="3:15" s="55" customFormat="1" ht="15">
      <c r="C712" s="54"/>
      <c r="D712" s="54"/>
      <c r="E712" s="53"/>
      <c r="F712" s="53"/>
      <c r="G712" s="52">
        <f>ROUND($C$16*Table5[[#This Row],[Hours]],2)</f>
        <v>0</v>
      </c>
      <c r="H712" s="47"/>
      <c r="I712" s="51"/>
      <c r="J712" s="50"/>
      <c r="K712" s="49"/>
      <c r="L712" s="48" t="str">
        <f>IF(AND(LEN(K712)&gt;0,D712="APPROVED"),VLOOKUP(Table5[[#This Row],[COMPLETION %]],COMPL_STATUS,2,1),"")</f>
        <v/>
      </c>
      <c r="M712" s="47"/>
      <c r="N712" s="47"/>
      <c r="O712" s="46"/>
    </row>
    <row r="713" spans="3:15" s="55" customFormat="1" ht="15">
      <c r="C713" s="54"/>
      <c r="D713" s="54"/>
      <c r="E713" s="53"/>
      <c r="F713" s="53"/>
      <c r="G713" s="52">
        <f>ROUND($C$16*Table5[[#This Row],[Hours]],2)</f>
        <v>0</v>
      </c>
      <c r="H713" s="47"/>
      <c r="I713" s="51"/>
      <c r="J713" s="50"/>
      <c r="K713" s="49"/>
      <c r="L713" s="48" t="str">
        <f>IF(AND(LEN(K713)&gt;0,D713="APPROVED"),VLOOKUP(Table5[[#This Row],[COMPLETION %]],COMPL_STATUS,2,1),"")</f>
        <v/>
      </c>
      <c r="M713" s="47"/>
      <c r="N713" s="47"/>
      <c r="O713" s="46"/>
    </row>
    <row r="714" spans="3:15" s="55" customFormat="1" ht="15">
      <c r="C714" s="54"/>
      <c r="D714" s="54"/>
      <c r="E714" s="53"/>
      <c r="F714" s="53"/>
      <c r="G714" s="52">
        <f>ROUND($C$16*Table5[[#This Row],[Hours]],2)</f>
        <v>0</v>
      </c>
      <c r="H714" s="47"/>
      <c r="I714" s="51"/>
      <c r="J714" s="50"/>
      <c r="K714" s="49"/>
      <c r="L714" s="48" t="str">
        <f>IF(AND(LEN(K714)&gt;0,D714="APPROVED"),VLOOKUP(Table5[[#This Row],[COMPLETION %]],COMPL_STATUS,2,1),"")</f>
        <v/>
      </c>
      <c r="M714" s="47"/>
      <c r="N714" s="47"/>
      <c r="O714" s="46"/>
    </row>
    <row r="715" spans="3:15" s="55" customFormat="1" ht="15">
      <c r="C715" s="54"/>
      <c r="D715" s="54"/>
      <c r="E715" s="53"/>
      <c r="F715" s="53"/>
      <c r="G715" s="52">
        <f>ROUND($C$16*Table5[[#This Row],[Hours]],2)</f>
        <v>0</v>
      </c>
      <c r="H715" s="47"/>
      <c r="I715" s="51"/>
      <c r="J715" s="50"/>
      <c r="K715" s="49"/>
      <c r="L715" s="48" t="str">
        <f>IF(AND(LEN(K715)&gt;0,D715="APPROVED"),VLOOKUP(Table5[[#This Row],[COMPLETION %]],COMPL_STATUS,2,1),"")</f>
        <v/>
      </c>
      <c r="M715" s="47"/>
      <c r="N715" s="47"/>
      <c r="O715" s="46"/>
    </row>
    <row r="716" spans="3:15" s="55" customFormat="1" ht="15">
      <c r="C716" s="54"/>
      <c r="D716" s="54"/>
      <c r="E716" s="53"/>
      <c r="F716" s="53"/>
      <c r="G716" s="52">
        <f>ROUND($C$16*Table5[[#This Row],[Hours]],2)</f>
        <v>0</v>
      </c>
      <c r="H716" s="47"/>
      <c r="I716" s="51"/>
      <c r="J716" s="50"/>
      <c r="K716" s="49"/>
      <c r="L716" s="48" t="str">
        <f>IF(AND(LEN(K716)&gt;0,D716="APPROVED"),VLOOKUP(Table5[[#This Row],[COMPLETION %]],COMPL_STATUS,2,1),"")</f>
        <v/>
      </c>
      <c r="M716" s="47"/>
      <c r="N716" s="47"/>
      <c r="O716" s="46"/>
    </row>
    <row r="717" spans="3:15" s="55" customFormat="1" ht="15">
      <c r="C717" s="54"/>
      <c r="D717" s="54"/>
      <c r="E717" s="53"/>
      <c r="F717" s="53"/>
      <c r="G717" s="52">
        <f>ROUND($C$16*Table5[[#This Row],[Hours]],2)</f>
        <v>0</v>
      </c>
      <c r="H717" s="47"/>
      <c r="I717" s="51"/>
      <c r="J717" s="50"/>
      <c r="K717" s="49"/>
      <c r="L717" s="48" t="str">
        <f>IF(AND(LEN(K717)&gt;0,D717="APPROVED"),VLOOKUP(Table5[[#This Row],[COMPLETION %]],COMPL_STATUS,2,1),"")</f>
        <v/>
      </c>
      <c r="M717" s="47"/>
      <c r="N717" s="47"/>
      <c r="O717" s="46"/>
    </row>
    <row r="718" spans="3:15" s="55" customFormat="1" ht="15">
      <c r="C718" s="54"/>
      <c r="D718" s="54"/>
      <c r="E718" s="53"/>
      <c r="F718" s="53"/>
      <c r="G718" s="52">
        <f>ROUND($C$16*Table5[[#This Row],[Hours]],2)</f>
        <v>0</v>
      </c>
      <c r="H718" s="47"/>
      <c r="I718" s="51"/>
      <c r="J718" s="50"/>
      <c r="K718" s="49"/>
      <c r="L718" s="48" t="str">
        <f>IF(AND(LEN(K718)&gt;0,D718="APPROVED"),VLOOKUP(Table5[[#This Row],[COMPLETION %]],COMPL_STATUS,2,1),"")</f>
        <v/>
      </c>
      <c r="M718" s="47"/>
      <c r="N718" s="47"/>
      <c r="O718" s="46"/>
    </row>
    <row r="719" spans="3:15" s="55" customFormat="1" ht="15">
      <c r="C719" s="54"/>
      <c r="D719" s="54"/>
      <c r="E719" s="53"/>
      <c r="F719" s="53"/>
      <c r="G719" s="52">
        <f>ROUND($C$16*Table5[[#This Row],[Hours]],2)</f>
        <v>0</v>
      </c>
      <c r="H719" s="47"/>
      <c r="I719" s="51"/>
      <c r="J719" s="50"/>
      <c r="K719" s="49"/>
      <c r="L719" s="48" t="str">
        <f>IF(AND(LEN(K719)&gt;0,D719="APPROVED"),VLOOKUP(Table5[[#This Row],[COMPLETION %]],COMPL_STATUS,2,1),"")</f>
        <v/>
      </c>
      <c r="M719" s="47"/>
      <c r="N719" s="47"/>
      <c r="O719" s="46"/>
    </row>
    <row r="720" spans="3:15" s="55" customFormat="1" ht="15">
      <c r="C720" s="54"/>
      <c r="D720" s="54"/>
      <c r="E720" s="53"/>
      <c r="F720" s="53"/>
      <c r="G720" s="52">
        <f>ROUND($C$16*Table5[[#This Row],[Hours]],2)</f>
        <v>0</v>
      </c>
      <c r="H720" s="47"/>
      <c r="I720" s="51"/>
      <c r="J720" s="50"/>
      <c r="K720" s="49"/>
      <c r="L720" s="48" t="str">
        <f>IF(AND(LEN(K720)&gt;0,D720="APPROVED"),VLOOKUP(Table5[[#This Row],[COMPLETION %]],COMPL_STATUS,2,1),"")</f>
        <v/>
      </c>
      <c r="M720" s="47"/>
      <c r="N720" s="47"/>
      <c r="O720" s="46"/>
    </row>
    <row r="721" spans="3:15" s="55" customFormat="1" ht="15">
      <c r="C721" s="54"/>
      <c r="D721" s="54"/>
      <c r="E721" s="53"/>
      <c r="F721" s="53"/>
      <c r="G721" s="52">
        <f>ROUND($C$16*Table5[[#This Row],[Hours]],2)</f>
        <v>0</v>
      </c>
      <c r="H721" s="47"/>
      <c r="I721" s="51"/>
      <c r="J721" s="50"/>
      <c r="K721" s="49"/>
      <c r="L721" s="48" t="str">
        <f>IF(AND(LEN(K721)&gt;0,D721="APPROVED"),VLOOKUP(Table5[[#This Row],[COMPLETION %]],COMPL_STATUS,2,1),"")</f>
        <v/>
      </c>
      <c r="M721" s="47"/>
      <c r="N721" s="47"/>
      <c r="O721" s="46"/>
    </row>
    <row r="722" spans="3:15" s="55" customFormat="1" ht="15">
      <c r="C722" s="54"/>
      <c r="D722" s="54"/>
      <c r="E722" s="53"/>
      <c r="F722" s="53"/>
      <c r="G722" s="52">
        <f>ROUND($C$16*Table5[[#This Row],[Hours]],2)</f>
        <v>0</v>
      </c>
      <c r="H722" s="47"/>
      <c r="I722" s="51"/>
      <c r="J722" s="50"/>
      <c r="K722" s="49"/>
      <c r="L722" s="48" t="str">
        <f>IF(AND(LEN(K722)&gt;0,D722="APPROVED"),VLOOKUP(Table5[[#This Row],[COMPLETION %]],COMPL_STATUS,2,1),"")</f>
        <v/>
      </c>
      <c r="M722" s="47"/>
      <c r="N722" s="47"/>
      <c r="O722" s="46"/>
    </row>
    <row r="723" spans="3:15" s="55" customFormat="1" ht="15">
      <c r="C723" s="54"/>
      <c r="D723" s="54"/>
      <c r="E723" s="53"/>
      <c r="F723" s="53"/>
      <c r="G723" s="52">
        <f>ROUND($C$16*Table5[[#This Row],[Hours]],2)</f>
        <v>0</v>
      </c>
      <c r="H723" s="47"/>
      <c r="I723" s="51"/>
      <c r="J723" s="50"/>
      <c r="K723" s="49"/>
      <c r="L723" s="48" t="str">
        <f>IF(AND(LEN(K723)&gt;0,D723="APPROVED"),VLOOKUP(Table5[[#This Row],[COMPLETION %]],COMPL_STATUS,2,1),"")</f>
        <v/>
      </c>
      <c r="M723" s="47"/>
      <c r="N723" s="47"/>
      <c r="O723" s="46"/>
    </row>
    <row r="724" spans="3:15" s="55" customFormat="1" ht="15">
      <c r="C724" s="54"/>
      <c r="D724" s="54"/>
      <c r="E724" s="53"/>
      <c r="F724" s="53"/>
      <c r="G724" s="52">
        <f>ROUND($C$16*Table5[[#This Row],[Hours]],2)</f>
        <v>0</v>
      </c>
      <c r="H724" s="47"/>
      <c r="I724" s="51"/>
      <c r="J724" s="50"/>
      <c r="K724" s="49"/>
      <c r="L724" s="48" t="str">
        <f>IF(AND(LEN(K724)&gt;0,D724="APPROVED"),VLOOKUP(Table5[[#This Row],[COMPLETION %]],COMPL_STATUS,2,1),"")</f>
        <v/>
      </c>
      <c r="M724" s="47"/>
      <c r="N724" s="47"/>
      <c r="O724" s="46"/>
    </row>
    <row r="725" spans="3:15" s="55" customFormat="1" ht="15">
      <c r="C725" s="54"/>
      <c r="D725" s="54"/>
      <c r="E725" s="53"/>
      <c r="F725" s="53"/>
      <c r="G725" s="52">
        <f>ROUND($C$16*Table5[[#This Row],[Hours]],2)</f>
        <v>0</v>
      </c>
      <c r="H725" s="47"/>
      <c r="I725" s="51"/>
      <c r="J725" s="50"/>
      <c r="K725" s="49"/>
      <c r="L725" s="48" t="str">
        <f>IF(AND(LEN(K725)&gt;0,D725="APPROVED"),VLOOKUP(Table5[[#This Row],[COMPLETION %]],COMPL_STATUS,2,1),"")</f>
        <v/>
      </c>
      <c r="M725" s="47"/>
      <c r="N725" s="47"/>
      <c r="O725" s="46"/>
    </row>
    <row r="726" spans="3:15" s="55" customFormat="1" ht="15">
      <c r="C726" s="54"/>
      <c r="D726" s="54"/>
      <c r="E726" s="53"/>
      <c r="F726" s="53"/>
      <c r="G726" s="52">
        <f>ROUND($C$16*Table5[[#This Row],[Hours]],2)</f>
        <v>0</v>
      </c>
      <c r="H726" s="47"/>
      <c r="I726" s="51"/>
      <c r="J726" s="50"/>
      <c r="K726" s="49"/>
      <c r="L726" s="48" t="str">
        <f>IF(AND(LEN(K726)&gt;0,D726="APPROVED"),VLOOKUP(Table5[[#This Row],[COMPLETION %]],COMPL_STATUS,2,1),"")</f>
        <v/>
      </c>
      <c r="M726" s="47"/>
      <c r="N726" s="47"/>
      <c r="O726" s="46"/>
    </row>
    <row r="727" spans="3:15" s="55" customFormat="1" ht="15">
      <c r="C727" s="54"/>
      <c r="D727" s="54"/>
      <c r="E727" s="53"/>
      <c r="F727" s="53"/>
      <c r="G727" s="52">
        <f>ROUND($C$16*Table5[[#This Row],[Hours]],2)</f>
        <v>0</v>
      </c>
      <c r="H727" s="47"/>
      <c r="I727" s="51"/>
      <c r="J727" s="50"/>
      <c r="K727" s="49"/>
      <c r="L727" s="48" t="str">
        <f>IF(AND(LEN(K727)&gt;0,D727="APPROVED"),VLOOKUP(Table5[[#This Row],[COMPLETION %]],COMPL_STATUS,2,1),"")</f>
        <v/>
      </c>
      <c r="M727" s="47"/>
      <c r="N727" s="47"/>
      <c r="O727" s="46"/>
    </row>
    <row r="728" spans="3:15" s="55" customFormat="1" ht="15">
      <c r="C728" s="54"/>
      <c r="D728" s="54"/>
      <c r="E728" s="53"/>
      <c r="F728" s="53"/>
      <c r="G728" s="52">
        <f>ROUND($C$16*Table5[[#This Row],[Hours]],2)</f>
        <v>0</v>
      </c>
      <c r="H728" s="47"/>
      <c r="I728" s="51"/>
      <c r="J728" s="50"/>
      <c r="K728" s="49"/>
      <c r="L728" s="48" t="str">
        <f>IF(AND(LEN(K728)&gt;0,D728="APPROVED"),VLOOKUP(Table5[[#This Row],[COMPLETION %]],COMPL_STATUS,2,1),"")</f>
        <v/>
      </c>
      <c r="M728" s="47"/>
      <c r="N728" s="47"/>
      <c r="O728" s="46"/>
    </row>
    <row r="729" spans="3:15" s="55" customFormat="1" ht="15">
      <c r="C729" s="54"/>
      <c r="D729" s="54"/>
      <c r="E729" s="53"/>
      <c r="F729" s="53"/>
      <c r="G729" s="52">
        <f>ROUND($C$16*Table5[[#This Row],[Hours]],2)</f>
        <v>0</v>
      </c>
      <c r="H729" s="47"/>
      <c r="I729" s="51"/>
      <c r="J729" s="50"/>
      <c r="K729" s="49"/>
      <c r="L729" s="48" t="str">
        <f>IF(AND(LEN(K729)&gt;0,D729="APPROVED"),VLOOKUP(Table5[[#This Row],[COMPLETION %]],COMPL_STATUS,2,1),"")</f>
        <v/>
      </c>
      <c r="M729" s="47"/>
      <c r="N729" s="47"/>
      <c r="O729" s="46"/>
    </row>
    <row r="730" spans="3:15" s="55" customFormat="1" ht="15">
      <c r="C730" s="54"/>
      <c r="D730" s="54"/>
      <c r="E730" s="53"/>
      <c r="F730" s="53"/>
      <c r="G730" s="52">
        <f>ROUND($C$16*Table5[[#This Row],[Hours]],2)</f>
        <v>0</v>
      </c>
      <c r="H730" s="47"/>
      <c r="I730" s="51"/>
      <c r="J730" s="50"/>
      <c r="K730" s="49"/>
      <c r="L730" s="48" t="str">
        <f>IF(AND(LEN(K730)&gt;0,D730="APPROVED"),VLOOKUP(Table5[[#This Row],[COMPLETION %]],COMPL_STATUS,2,1),"")</f>
        <v/>
      </c>
      <c r="M730" s="47"/>
      <c r="N730" s="47"/>
      <c r="O730" s="46"/>
    </row>
    <row r="731" spans="3:15" s="55" customFormat="1" ht="15">
      <c r="C731" s="54"/>
      <c r="D731" s="54"/>
      <c r="E731" s="53"/>
      <c r="F731" s="53"/>
      <c r="G731" s="52">
        <f>ROUND($C$16*Table5[[#This Row],[Hours]],2)</f>
        <v>0</v>
      </c>
      <c r="H731" s="47"/>
      <c r="I731" s="51"/>
      <c r="J731" s="50"/>
      <c r="K731" s="49"/>
      <c r="L731" s="48" t="str">
        <f>IF(AND(LEN(K731)&gt;0,D731="APPROVED"),VLOOKUP(Table5[[#This Row],[COMPLETION %]],COMPL_STATUS,2,1),"")</f>
        <v/>
      </c>
      <c r="M731" s="47"/>
      <c r="N731" s="47"/>
      <c r="O731" s="46"/>
    </row>
    <row r="732" spans="3:15" s="55" customFormat="1" ht="15">
      <c r="C732" s="54"/>
      <c r="D732" s="54"/>
      <c r="E732" s="53"/>
      <c r="F732" s="53"/>
      <c r="G732" s="52">
        <f>ROUND($C$16*Table5[[#This Row],[Hours]],2)</f>
        <v>0</v>
      </c>
      <c r="H732" s="47"/>
      <c r="I732" s="51"/>
      <c r="J732" s="50"/>
      <c r="K732" s="49"/>
      <c r="L732" s="48" t="str">
        <f>IF(AND(LEN(K732)&gt;0,D732="APPROVED"),VLOOKUP(Table5[[#This Row],[COMPLETION %]],COMPL_STATUS,2,1),"")</f>
        <v/>
      </c>
      <c r="M732" s="47"/>
      <c r="N732" s="47"/>
      <c r="O732" s="46"/>
    </row>
    <row r="733" spans="3:15" s="55" customFormat="1" ht="15">
      <c r="C733" s="54"/>
      <c r="D733" s="54"/>
      <c r="E733" s="53"/>
      <c r="F733" s="53"/>
      <c r="G733" s="52">
        <f>ROUND($C$16*Table5[[#This Row],[Hours]],2)</f>
        <v>0</v>
      </c>
      <c r="H733" s="47"/>
      <c r="I733" s="51"/>
      <c r="J733" s="50"/>
      <c r="K733" s="49"/>
      <c r="L733" s="48" t="str">
        <f>IF(AND(LEN(K733)&gt;0,D733="APPROVED"),VLOOKUP(Table5[[#This Row],[COMPLETION %]],COMPL_STATUS,2,1),"")</f>
        <v/>
      </c>
      <c r="M733" s="47"/>
      <c r="N733" s="47"/>
      <c r="O733" s="46"/>
    </row>
    <row r="734" spans="3:15" s="55" customFormat="1" ht="15">
      <c r="C734" s="54"/>
      <c r="D734" s="54"/>
      <c r="E734" s="53"/>
      <c r="F734" s="53"/>
      <c r="G734" s="52">
        <f>ROUND($C$16*Table5[[#This Row],[Hours]],2)</f>
        <v>0</v>
      </c>
      <c r="H734" s="47"/>
      <c r="I734" s="51"/>
      <c r="J734" s="50"/>
      <c r="K734" s="49"/>
      <c r="L734" s="48" t="str">
        <f>IF(AND(LEN(K734)&gt;0,D734="APPROVED"),VLOOKUP(Table5[[#This Row],[COMPLETION %]],COMPL_STATUS,2,1),"")</f>
        <v/>
      </c>
      <c r="M734" s="47"/>
      <c r="N734" s="47"/>
      <c r="O734" s="46"/>
    </row>
    <row r="735" spans="3:15" s="55" customFormat="1" ht="15">
      <c r="C735" s="54"/>
      <c r="D735" s="54"/>
      <c r="E735" s="53"/>
      <c r="F735" s="53"/>
      <c r="G735" s="52">
        <f>ROUND($C$16*Table5[[#This Row],[Hours]],2)</f>
        <v>0</v>
      </c>
      <c r="H735" s="47"/>
      <c r="I735" s="51"/>
      <c r="J735" s="50"/>
      <c r="K735" s="49"/>
      <c r="L735" s="48" t="str">
        <f>IF(AND(LEN(K735)&gt;0,D735="APPROVED"),VLOOKUP(Table5[[#This Row],[COMPLETION %]],COMPL_STATUS,2,1),"")</f>
        <v/>
      </c>
      <c r="M735" s="47"/>
      <c r="N735" s="47"/>
      <c r="O735" s="46"/>
    </row>
    <row r="736" spans="3:15" s="55" customFormat="1" ht="15">
      <c r="C736" s="54"/>
      <c r="D736" s="54"/>
      <c r="E736" s="53"/>
      <c r="F736" s="53"/>
      <c r="G736" s="52">
        <f>ROUND($C$16*Table5[[#This Row],[Hours]],2)</f>
        <v>0</v>
      </c>
      <c r="H736" s="47"/>
      <c r="I736" s="51"/>
      <c r="J736" s="50"/>
      <c r="K736" s="49"/>
      <c r="L736" s="48" t="str">
        <f>IF(AND(LEN(K736)&gt;0,D736="APPROVED"),VLOOKUP(Table5[[#This Row],[COMPLETION %]],COMPL_STATUS,2,1),"")</f>
        <v/>
      </c>
      <c r="M736" s="47"/>
      <c r="N736" s="47"/>
      <c r="O736" s="46"/>
    </row>
    <row r="737" spans="3:15" s="55" customFormat="1" ht="15">
      <c r="C737" s="54"/>
      <c r="D737" s="54"/>
      <c r="E737" s="53"/>
      <c r="F737" s="53"/>
      <c r="G737" s="52">
        <f>ROUND($C$16*Table5[[#This Row],[Hours]],2)</f>
        <v>0</v>
      </c>
      <c r="H737" s="47"/>
      <c r="I737" s="51"/>
      <c r="J737" s="50"/>
      <c r="K737" s="49"/>
      <c r="L737" s="48" t="str">
        <f>IF(AND(LEN(K737)&gt;0,D737="APPROVED"),VLOOKUP(Table5[[#This Row],[COMPLETION %]],COMPL_STATUS,2,1),"")</f>
        <v/>
      </c>
      <c r="M737" s="47"/>
      <c r="N737" s="47"/>
      <c r="O737" s="46"/>
    </row>
    <row r="738" spans="3:15" s="55" customFormat="1" ht="15">
      <c r="C738" s="54"/>
      <c r="D738" s="54"/>
      <c r="E738" s="53"/>
      <c r="F738" s="53"/>
      <c r="G738" s="52">
        <f>ROUND($C$16*Table5[[#This Row],[Hours]],2)</f>
        <v>0</v>
      </c>
      <c r="H738" s="47"/>
      <c r="I738" s="51"/>
      <c r="J738" s="50"/>
      <c r="K738" s="49"/>
      <c r="L738" s="48" t="str">
        <f>IF(AND(LEN(K738)&gt;0,D738="APPROVED"),VLOOKUP(Table5[[#This Row],[COMPLETION %]],COMPL_STATUS,2,1),"")</f>
        <v/>
      </c>
      <c r="M738" s="47"/>
      <c r="N738" s="47"/>
      <c r="O738" s="46"/>
    </row>
    <row r="739" spans="3:15" s="55" customFormat="1" ht="15">
      <c r="C739" s="54"/>
      <c r="D739" s="54"/>
      <c r="E739" s="53"/>
      <c r="F739" s="53"/>
      <c r="G739" s="52">
        <f>ROUND($C$16*Table5[[#This Row],[Hours]],2)</f>
        <v>0</v>
      </c>
      <c r="H739" s="47"/>
      <c r="I739" s="51"/>
      <c r="J739" s="50"/>
      <c r="K739" s="49"/>
      <c r="L739" s="48" t="str">
        <f>IF(AND(LEN(K739)&gt;0,D739="APPROVED"),VLOOKUP(Table5[[#This Row],[COMPLETION %]],COMPL_STATUS,2,1),"")</f>
        <v/>
      </c>
      <c r="M739" s="47"/>
      <c r="N739" s="47"/>
      <c r="O739" s="46"/>
    </row>
    <row r="740" spans="3:15" s="55" customFormat="1" ht="15">
      <c r="C740" s="54"/>
      <c r="D740" s="54"/>
      <c r="E740" s="53"/>
      <c r="F740" s="53"/>
      <c r="G740" s="52">
        <f>ROUND($C$16*Table5[[#This Row],[Hours]],2)</f>
        <v>0</v>
      </c>
      <c r="H740" s="47"/>
      <c r="I740" s="51"/>
      <c r="J740" s="50"/>
      <c r="K740" s="49"/>
      <c r="L740" s="48" t="str">
        <f>IF(AND(LEN(K740)&gt;0,D740="APPROVED"),VLOOKUP(Table5[[#This Row],[COMPLETION %]],COMPL_STATUS,2,1),"")</f>
        <v/>
      </c>
      <c r="M740" s="47"/>
      <c r="N740" s="47"/>
      <c r="O740" s="46"/>
    </row>
    <row r="741" spans="3:15" s="55" customFormat="1" ht="15">
      <c r="C741" s="54"/>
      <c r="D741" s="54"/>
      <c r="E741" s="53"/>
      <c r="F741" s="53"/>
      <c r="G741" s="52">
        <f>ROUND($C$16*Table5[[#This Row],[Hours]],2)</f>
        <v>0</v>
      </c>
      <c r="H741" s="47"/>
      <c r="I741" s="51"/>
      <c r="J741" s="50"/>
      <c r="K741" s="49"/>
      <c r="L741" s="48" t="str">
        <f>IF(AND(LEN(K741)&gt;0,D741="APPROVED"),VLOOKUP(Table5[[#This Row],[COMPLETION %]],COMPL_STATUS,2,1),"")</f>
        <v/>
      </c>
      <c r="M741" s="47"/>
      <c r="N741" s="47"/>
      <c r="O741" s="46"/>
    </row>
    <row r="742" spans="3:15" s="55" customFormat="1" ht="15">
      <c r="C742" s="54"/>
      <c r="D742" s="54"/>
      <c r="E742" s="53"/>
      <c r="F742" s="53"/>
      <c r="G742" s="52">
        <f>ROUND($C$16*Table5[[#This Row],[Hours]],2)</f>
        <v>0</v>
      </c>
      <c r="H742" s="47"/>
      <c r="I742" s="51"/>
      <c r="J742" s="50"/>
      <c r="K742" s="49"/>
      <c r="L742" s="48" t="str">
        <f>IF(AND(LEN(K742)&gt;0,D742="APPROVED"),VLOOKUP(Table5[[#This Row],[COMPLETION %]],COMPL_STATUS,2,1),"")</f>
        <v/>
      </c>
      <c r="M742" s="47"/>
      <c r="N742" s="47"/>
      <c r="O742" s="46"/>
    </row>
    <row r="743" spans="3:15" s="55" customFormat="1" ht="15">
      <c r="C743" s="54"/>
      <c r="D743" s="54"/>
      <c r="E743" s="53"/>
      <c r="F743" s="53"/>
      <c r="G743" s="52">
        <f>ROUND($C$16*Table5[[#This Row],[Hours]],2)</f>
        <v>0</v>
      </c>
      <c r="H743" s="47"/>
      <c r="I743" s="51"/>
      <c r="J743" s="50"/>
      <c r="K743" s="49"/>
      <c r="L743" s="48" t="str">
        <f>IF(AND(LEN(K743)&gt;0,D743="APPROVED"),VLOOKUP(Table5[[#This Row],[COMPLETION %]],COMPL_STATUS,2,1),"")</f>
        <v/>
      </c>
      <c r="M743" s="47"/>
      <c r="N743" s="47"/>
      <c r="O743" s="46"/>
    </row>
    <row r="744" spans="3:15" s="55" customFormat="1" ht="15">
      <c r="C744" s="54"/>
      <c r="D744" s="54"/>
      <c r="E744" s="53"/>
      <c r="F744" s="53"/>
      <c r="G744" s="52">
        <f>ROUND($C$16*Table5[[#This Row],[Hours]],2)</f>
        <v>0</v>
      </c>
      <c r="H744" s="47"/>
      <c r="I744" s="51"/>
      <c r="J744" s="50"/>
      <c r="K744" s="49"/>
      <c r="L744" s="48" t="str">
        <f>IF(AND(LEN(K744)&gt;0,D744="APPROVED"),VLOOKUP(Table5[[#This Row],[COMPLETION %]],COMPL_STATUS,2,1),"")</f>
        <v/>
      </c>
      <c r="M744" s="47"/>
      <c r="N744" s="47"/>
      <c r="O744" s="46"/>
    </row>
    <row r="745" spans="3:15" s="55" customFormat="1" ht="15">
      <c r="C745" s="54"/>
      <c r="D745" s="54"/>
      <c r="E745" s="53"/>
      <c r="F745" s="53"/>
      <c r="G745" s="52">
        <f>ROUND($C$16*Table5[[#This Row],[Hours]],2)</f>
        <v>0</v>
      </c>
      <c r="H745" s="47"/>
      <c r="I745" s="51"/>
      <c r="J745" s="50"/>
      <c r="K745" s="49"/>
      <c r="L745" s="48" t="str">
        <f>IF(AND(LEN(K745)&gt;0,D745="APPROVED"),VLOOKUP(Table5[[#This Row],[COMPLETION %]],COMPL_STATUS,2,1),"")</f>
        <v/>
      </c>
      <c r="M745" s="47"/>
      <c r="N745" s="47"/>
      <c r="O745" s="46"/>
    </row>
    <row r="746" spans="3:15" s="55" customFormat="1" ht="15">
      <c r="C746" s="54"/>
      <c r="D746" s="54"/>
      <c r="E746" s="53"/>
      <c r="F746" s="53"/>
      <c r="G746" s="52">
        <f>ROUND($C$16*Table5[[#This Row],[Hours]],2)</f>
        <v>0</v>
      </c>
      <c r="H746" s="47"/>
      <c r="I746" s="51"/>
      <c r="J746" s="50"/>
      <c r="K746" s="49"/>
      <c r="L746" s="48" t="str">
        <f>IF(AND(LEN(K746)&gt;0,D746="APPROVED"),VLOOKUP(Table5[[#This Row],[COMPLETION %]],COMPL_STATUS,2,1),"")</f>
        <v/>
      </c>
      <c r="M746" s="47"/>
      <c r="N746" s="47"/>
      <c r="O746" s="46"/>
    </row>
    <row r="747" spans="3:15" s="55" customFormat="1" ht="15">
      <c r="C747" s="54"/>
      <c r="D747" s="54"/>
      <c r="E747" s="53"/>
      <c r="F747" s="53"/>
      <c r="G747" s="52">
        <f>ROUND($C$16*Table5[[#This Row],[Hours]],2)</f>
        <v>0</v>
      </c>
      <c r="H747" s="47"/>
      <c r="I747" s="51"/>
      <c r="J747" s="50"/>
      <c r="K747" s="49"/>
      <c r="L747" s="48" t="str">
        <f>IF(AND(LEN(K747)&gt;0,D747="APPROVED"),VLOOKUP(Table5[[#This Row],[COMPLETION %]],COMPL_STATUS,2,1),"")</f>
        <v/>
      </c>
      <c r="M747" s="47"/>
      <c r="N747" s="47"/>
      <c r="O747" s="46"/>
    </row>
    <row r="748" spans="3:15" s="55" customFormat="1" ht="15">
      <c r="C748" s="54"/>
      <c r="D748" s="54"/>
      <c r="E748" s="53"/>
      <c r="F748" s="53"/>
      <c r="G748" s="52">
        <f>ROUND($C$16*Table5[[#This Row],[Hours]],2)</f>
        <v>0</v>
      </c>
      <c r="H748" s="47"/>
      <c r="I748" s="51"/>
      <c r="J748" s="50"/>
      <c r="K748" s="49"/>
      <c r="L748" s="48" t="str">
        <f>IF(AND(LEN(K748)&gt;0,D748="APPROVED"),VLOOKUP(Table5[[#This Row],[COMPLETION %]],COMPL_STATUS,2,1),"")</f>
        <v/>
      </c>
      <c r="M748" s="47"/>
      <c r="N748" s="47"/>
      <c r="O748" s="46"/>
    </row>
    <row r="749" spans="3:15" s="55" customFormat="1" ht="15">
      <c r="C749" s="54"/>
      <c r="D749" s="54"/>
      <c r="E749" s="53"/>
      <c r="F749" s="53"/>
      <c r="G749" s="52">
        <f>ROUND($C$16*Table5[[#This Row],[Hours]],2)</f>
        <v>0</v>
      </c>
      <c r="H749" s="47"/>
      <c r="I749" s="51"/>
      <c r="J749" s="50"/>
      <c r="K749" s="49"/>
      <c r="L749" s="48" t="str">
        <f>IF(AND(LEN(K749)&gt;0,D749="APPROVED"),VLOOKUP(Table5[[#This Row],[COMPLETION %]],COMPL_STATUS,2,1),"")</f>
        <v/>
      </c>
      <c r="M749" s="47"/>
      <c r="N749" s="47"/>
      <c r="O749" s="46"/>
    </row>
    <row r="750" spans="3:15" s="55" customFormat="1" ht="15">
      <c r="C750" s="54"/>
      <c r="D750" s="54"/>
      <c r="E750" s="53"/>
      <c r="F750" s="53"/>
      <c r="G750" s="52">
        <f>ROUND($C$16*Table5[[#This Row],[Hours]],2)</f>
        <v>0</v>
      </c>
      <c r="H750" s="47"/>
      <c r="I750" s="51"/>
      <c r="J750" s="50"/>
      <c r="K750" s="49"/>
      <c r="L750" s="48" t="str">
        <f>IF(AND(LEN(K750)&gt;0,D750="APPROVED"),VLOOKUP(Table5[[#This Row],[COMPLETION %]],COMPL_STATUS,2,1),"")</f>
        <v/>
      </c>
      <c r="M750" s="47"/>
      <c r="N750" s="47"/>
      <c r="O750" s="46"/>
    </row>
    <row r="751" spans="3:15" s="55" customFormat="1" ht="15">
      <c r="C751" s="54"/>
      <c r="D751" s="54"/>
      <c r="E751" s="53"/>
      <c r="F751" s="53"/>
      <c r="G751" s="52">
        <f>ROUND($C$16*Table5[[#This Row],[Hours]],2)</f>
        <v>0</v>
      </c>
      <c r="H751" s="47"/>
      <c r="I751" s="51"/>
      <c r="J751" s="50"/>
      <c r="K751" s="49"/>
      <c r="L751" s="48" t="str">
        <f>IF(AND(LEN(K751)&gt;0,D751="APPROVED"),VLOOKUP(Table5[[#This Row],[COMPLETION %]],COMPL_STATUS,2,1),"")</f>
        <v/>
      </c>
      <c r="M751" s="47"/>
      <c r="N751" s="47"/>
      <c r="O751" s="46"/>
    </row>
    <row r="752" spans="3:15" s="55" customFormat="1" ht="15">
      <c r="C752" s="54"/>
      <c r="D752" s="54"/>
      <c r="E752" s="53"/>
      <c r="F752" s="53"/>
      <c r="G752" s="52">
        <f>ROUND($C$16*Table5[[#This Row],[Hours]],2)</f>
        <v>0</v>
      </c>
      <c r="H752" s="47"/>
      <c r="I752" s="51"/>
      <c r="J752" s="50"/>
      <c r="K752" s="49"/>
      <c r="L752" s="48" t="str">
        <f>IF(AND(LEN(K752)&gt;0,D752="APPROVED"),VLOOKUP(Table5[[#This Row],[COMPLETION %]],COMPL_STATUS,2,1),"")</f>
        <v/>
      </c>
      <c r="M752" s="47"/>
      <c r="N752" s="47"/>
      <c r="O752" s="46"/>
    </row>
    <row r="753" spans="3:15" s="55" customFormat="1" ht="15">
      <c r="C753" s="54"/>
      <c r="D753" s="54"/>
      <c r="E753" s="53"/>
      <c r="F753" s="53"/>
      <c r="G753" s="52">
        <f>ROUND($C$16*Table5[[#This Row],[Hours]],2)</f>
        <v>0</v>
      </c>
      <c r="H753" s="47"/>
      <c r="I753" s="51"/>
      <c r="J753" s="50"/>
      <c r="K753" s="49"/>
      <c r="L753" s="48" t="str">
        <f>IF(AND(LEN(K753)&gt;0,D753="APPROVED"),VLOOKUP(Table5[[#This Row],[COMPLETION %]],COMPL_STATUS,2,1),"")</f>
        <v/>
      </c>
      <c r="M753" s="47"/>
      <c r="N753" s="47"/>
      <c r="O753" s="46"/>
    </row>
    <row r="754" spans="3:15" s="55" customFormat="1" ht="15">
      <c r="C754" s="54"/>
      <c r="D754" s="54"/>
      <c r="E754" s="53"/>
      <c r="F754" s="53"/>
      <c r="G754" s="52">
        <f>ROUND($C$16*Table5[[#This Row],[Hours]],2)</f>
        <v>0</v>
      </c>
      <c r="H754" s="47"/>
      <c r="I754" s="51"/>
      <c r="J754" s="50"/>
      <c r="K754" s="49"/>
      <c r="L754" s="48" t="str">
        <f>IF(AND(LEN(K754)&gt;0,D754="APPROVED"),VLOOKUP(Table5[[#This Row],[COMPLETION %]],COMPL_STATUS,2,1),"")</f>
        <v/>
      </c>
      <c r="M754" s="47"/>
      <c r="N754" s="47"/>
      <c r="O754" s="46"/>
    </row>
    <row r="755" spans="3:15" s="55" customFormat="1" ht="15">
      <c r="C755" s="54"/>
      <c r="D755" s="54"/>
      <c r="E755" s="53"/>
      <c r="F755" s="53"/>
      <c r="G755" s="52">
        <f>ROUND($C$16*Table5[[#This Row],[Hours]],2)</f>
        <v>0</v>
      </c>
      <c r="H755" s="47"/>
      <c r="I755" s="51"/>
      <c r="J755" s="50"/>
      <c r="K755" s="49"/>
      <c r="L755" s="48" t="str">
        <f>IF(AND(LEN(K755)&gt;0,D755="APPROVED"),VLOOKUP(Table5[[#This Row],[COMPLETION %]],COMPL_STATUS,2,1),"")</f>
        <v/>
      </c>
      <c r="M755" s="47"/>
      <c r="N755" s="47"/>
      <c r="O755" s="46"/>
    </row>
    <row r="756" spans="3:15" s="55" customFormat="1" ht="15">
      <c r="C756" s="54"/>
      <c r="D756" s="54"/>
      <c r="E756" s="53"/>
      <c r="F756" s="53"/>
      <c r="G756" s="52">
        <f>ROUND($C$16*Table5[[#This Row],[Hours]],2)</f>
        <v>0</v>
      </c>
      <c r="H756" s="47"/>
      <c r="I756" s="51"/>
      <c r="J756" s="50"/>
      <c r="K756" s="49"/>
      <c r="L756" s="48" t="str">
        <f>IF(AND(LEN(K756)&gt;0,D756="APPROVED"),VLOOKUP(Table5[[#This Row],[COMPLETION %]],COMPL_STATUS,2,1),"")</f>
        <v/>
      </c>
      <c r="M756" s="47"/>
      <c r="N756" s="47"/>
      <c r="O756" s="46"/>
    </row>
    <row r="757" spans="3:15" s="55" customFormat="1" ht="15">
      <c r="C757" s="54"/>
      <c r="D757" s="54"/>
      <c r="E757" s="53"/>
      <c r="F757" s="53"/>
      <c r="G757" s="52">
        <f>ROUND($C$16*Table5[[#This Row],[Hours]],2)</f>
        <v>0</v>
      </c>
      <c r="H757" s="47"/>
      <c r="I757" s="51"/>
      <c r="J757" s="50"/>
      <c r="K757" s="49"/>
      <c r="L757" s="48" t="str">
        <f>IF(AND(LEN(K757)&gt;0,D757="APPROVED"),VLOOKUP(Table5[[#This Row],[COMPLETION %]],COMPL_STATUS,2,1),"")</f>
        <v/>
      </c>
      <c r="M757" s="47"/>
      <c r="N757" s="47"/>
      <c r="O757" s="46"/>
    </row>
    <row r="758" spans="3:15" s="55" customFormat="1" ht="15">
      <c r="C758" s="54"/>
      <c r="D758" s="54"/>
      <c r="E758" s="53"/>
      <c r="F758" s="53"/>
      <c r="G758" s="52">
        <f>ROUND($C$16*Table5[[#This Row],[Hours]],2)</f>
        <v>0</v>
      </c>
      <c r="H758" s="47"/>
      <c r="I758" s="51"/>
      <c r="J758" s="50"/>
      <c r="K758" s="49"/>
      <c r="L758" s="48" t="str">
        <f>IF(AND(LEN(K758)&gt;0,D758="APPROVED"),VLOOKUP(Table5[[#This Row],[COMPLETION %]],COMPL_STATUS,2,1),"")</f>
        <v/>
      </c>
      <c r="M758" s="47"/>
      <c r="N758" s="47"/>
      <c r="O758" s="46"/>
    </row>
    <row r="759" spans="3:15" s="55" customFormat="1" ht="15">
      <c r="C759" s="54"/>
      <c r="D759" s="54"/>
      <c r="E759" s="53"/>
      <c r="F759" s="53"/>
      <c r="G759" s="52">
        <f>ROUND($C$16*Table5[[#This Row],[Hours]],2)</f>
        <v>0</v>
      </c>
      <c r="H759" s="47"/>
      <c r="I759" s="51"/>
      <c r="J759" s="50"/>
      <c r="K759" s="49"/>
      <c r="L759" s="48" t="str">
        <f>IF(AND(LEN(K759)&gt;0,D759="APPROVED"),VLOOKUP(Table5[[#This Row],[COMPLETION %]],COMPL_STATUS,2,1),"")</f>
        <v/>
      </c>
      <c r="M759" s="47"/>
      <c r="N759" s="47"/>
      <c r="O759" s="46"/>
    </row>
    <row r="760" spans="3:15" s="55" customFormat="1" ht="15">
      <c r="C760" s="54"/>
      <c r="D760" s="54"/>
      <c r="E760" s="53"/>
      <c r="F760" s="53"/>
      <c r="G760" s="52">
        <f>ROUND($C$16*Table5[[#This Row],[Hours]],2)</f>
        <v>0</v>
      </c>
      <c r="H760" s="47"/>
      <c r="I760" s="51"/>
      <c r="J760" s="50"/>
      <c r="K760" s="49"/>
      <c r="L760" s="48" t="str">
        <f>IF(AND(LEN(K760)&gt;0,D760="APPROVED"),VLOOKUP(Table5[[#This Row],[COMPLETION %]],COMPL_STATUS,2,1),"")</f>
        <v/>
      </c>
      <c r="M760" s="47"/>
      <c r="N760" s="47"/>
      <c r="O760" s="46"/>
    </row>
    <row r="761" spans="3:15" s="55" customFormat="1" ht="15">
      <c r="C761" s="54"/>
      <c r="D761" s="54"/>
      <c r="E761" s="53"/>
      <c r="F761" s="53"/>
      <c r="G761" s="52">
        <f>ROUND($C$16*Table5[[#This Row],[Hours]],2)</f>
        <v>0</v>
      </c>
      <c r="H761" s="47"/>
      <c r="I761" s="51"/>
      <c r="J761" s="50"/>
      <c r="K761" s="49"/>
      <c r="L761" s="48" t="str">
        <f>IF(AND(LEN(K761)&gt;0,D761="APPROVED"),VLOOKUP(Table5[[#This Row],[COMPLETION %]],COMPL_STATUS,2,1),"")</f>
        <v/>
      </c>
      <c r="M761" s="47"/>
      <c r="N761" s="47"/>
      <c r="O761" s="46"/>
    </row>
    <row r="762" spans="3:15" s="55" customFormat="1" ht="15">
      <c r="C762" s="54"/>
      <c r="D762" s="54"/>
      <c r="E762" s="53"/>
      <c r="F762" s="53"/>
      <c r="G762" s="52">
        <f>ROUND($C$16*Table5[[#This Row],[Hours]],2)</f>
        <v>0</v>
      </c>
      <c r="H762" s="47"/>
      <c r="I762" s="51"/>
      <c r="J762" s="50"/>
      <c r="K762" s="49"/>
      <c r="L762" s="48" t="str">
        <f>IF(AND(LEN(K762)&gt;0,D762="APPROVED"),VLOOKUP(Table5[[#This Row],[COMPLETION %]],COMPL_STATUS,2,1),"")</f>
        <v/>
      </c>
      <c r="M762" s="47"/>
      <c r="N762" s="47"/>
      <c r="O762" s="46"/>
    </row>
    <row r="763" spans="3:15" s="55" customFormat="1" ht="15">
      <c r="C763" s="54"/>
      <c r="D763" s="54"/>
      <c r="E763" s="53"/>
      <c r="F763" s="53"/>
      <c r="G763" s="52">
        <f>ROUND($C$16*Table5[[#This Row],[Hours]],2)</f>
        <v>0</v>
      </c>
      <c r="H763" s="47"/>
      <c r="I763" s="51"/>
      <c r="J763" s="50"/>
      <c r="K763" s="49"/>
      <c r="L763" s="48" t="str">
        <f>IF(AND(LEN(K763)&gt;0,D763="APPROVED"),VLOOKUP(Table5[[#This Row],[COMPLETION %]],COMPL_STATUS,2,1),"")</f>
        <v/>
      </c>
      <c r="M763" s="47"/>
      <c r="N763" s="47"/>
      <c r="O763" s="46"/>
    </row>
    <row r="764" spans="3:15" s="55" customFormat="1" ht="15">
      <c r="C764" s="54"/>
      <c r="D764" s="54"/>
      <c r="E764" s="53"/>
      <c r="F764" s="53"/>
      <c r="G764" s="52">
        <f>ROUND($C$16*Table5[[#This Row],[Hours]],2)</f>
        <v>0</v>
      </c>
      <c r="H764" s="47"/>
      <c r="I764" s="51"/>
      <c r="J764" s="50"/>
      <c r="K764" s="49"/>
      <c r="L764" s="48" t="str">
        <f>IF(AND(LEN(K764)&gt;0,D764="APPROVED"),VLOOKUP(Table5[[#This Row],[COMPLETION %]],COMPL_STATUS,2,1),"")</f>
        <v/>
      </c>
      <c r="M764" s="47"/>
      <c r="N764" s="47"/>
      <c r="O764" s="46"/>
    </row>
    <row r="765" spans="3:15" s="55" customFormat="1" ht="15">
      <c r="C765" s="54"/>
      <c r="D765" s="54"/>
      <c r="E765" s="53"/>
      <c r="F765" s="53"/>
      <c r="G765" s="52">
        <f>ROUND($C$16*Table5[[#This Row],[Hours]],2)</f>
        <v>0</v>
      </c>
      <c r="H765" s="47"/>
      <c r="I765" s="51"/>
      <c r="J765" s="50"/>
      <c r="K765" s="49"/>
      <c r="L765" s="48" t="str">
        <f>IF(AND(LEN(K765)&gt;0,D765="APPROVED"),VLOOKUP(Table5[[#This Row],[COMPLETION %]],COMPL_STATUS,2,1),"")</f>
        <v/>
      </c>
      <c r="M765" s="47"/>
      <c r="N765" s="47"/>
      <c r="O765" s="46"/>
    </row>
    <row r="766" spans="3:15" s="55" customFormat="1" ht="15">
      <c r="C766" s="54"/>
      <c r="D766" s="54"/>
      <c r="E766" s="53"/>
      <c r="F766" s="53"/>
      <c r="G766" s="52">
        <f>ROUND($C$16*Table5[[#This Row],[Hours]],2)</f>
        <v>0</v>
      </c>
      <c r="H766" s="47"/>
      <c r="I766" s="51"/>
      <c r="J766" s="50"/>
      <c r="K766" s="49"/>
      <c r="L766" s="48" t="str">
        <f>IF(AND(LEN(K766)&gt;0,D766="APPROVED"),VLOOKUP(Table5[[#This Row],[COMPLETION %]],COMPL_STATUS,2,1),"")</f>
        <v/>
      </c>
      <c r="M766" s="47"/>
      <c r="N766" s="47"/>
      <c r="O766" s="46"/>
    </row>
    <row r="767" spans="3:15" s="55" customFormat="1" ht="15">
      <c r="C767" s="54"/>
      <c r="D767" s="54"/>
      <c r="E767" s="53"/>
      <c r="F767" s="53"/>
      <c r="G767" s="52">
        <f>ROUND($C$16*Table5[[#This Row],[Hours]],2)</f>
        <v>0</v>
      </c>
      <c r="H767" s="47"/>
      <c r="I767" s="51"/>
      <c r="J767" s="50"/>
      <c r="K767" s="49"/>
      <c r="L767" s="48" t="str">
        <f>IF(AND(LEN(K767)&gt;0,D767="APPROVED"),VLOOKUP(Table5[[#This Row],[COMPLETION %]],COMPL_STATUS,2,1),"")</f>
        <v/>
      </c>
      <c r="M767" s="47"/>
      <c r="N767" s="47"/>
      <c r="O767" s="46"/>
    </row>
    <row r="768" spans="3:15" s="55" customFormat="1" ht="15">
      <c r="C768" s="54"/>
      <c r="D768" s="54"/>
      <c r="E768" s="53"/>
      <c r="F768" s="53"/>
      <c r="G768" s="52">
        <f>ROUND($C$16*Table5[[#This Row],[Hours]],2)</f>
        <v>0</v>
      </c>
      <c r="H768" s="47"/>
      <c r="I768" s="51"/>
      <c r="J768" s="50"/>
      <c r="K768" s="49"/>
      <c r="L768" s="48" t="str">
        <f>IF(AND(LEN(K768)&gt;0,D768="APPROVED"),VLOOKUP(Table5[[#This Row],[COMPLETION %]],COMPL_STATUS,2,1),"")</f>
        <v/>
      </c>
      <c r="M768" s="47"/>
      <c r="N768" s="47"/>
      <c r="O768" s="46"/>
    </row>
    <row r="769" spans="3:15" s="55" customFormat="1" ht="15">
      <c r="C769" s="54"/>
      <c r="D769" s="54"/>
      <c r="E769" s="53"/>
      <c r="F769" s="53"/>
      <c r="G769" s="52">
        <f>ROUND($C$16*Table5[[#This Row],[Hours]],2)</f>
        <v>0</v>
      </c>
      <c r="H769" s="47"/>
      <c r="I769" s="51"/>
      <c r="J769" s="50"/>
      <c r="K769" s="49"/>
      <c r="L769" s="48" t="str">
        <f>IF(AND(LEN(K769)&gt;0,D769="APPROVED"),VLOOKUP(Table5[[#This Row],[COMPLETION %]],COMPL_STATUS,2,1),"")</f>
        <v/>
      </c>
      <c r="M769" s="47"/>
      <c r="N769" s="47"/>
      <c r="O769" s="46"/>
    </row>
    <row r="770" spans="3:15" s="55" customFormat="1" ht="15">
      <c r="C770" s="54"/>
      <c r="D770" s="54"/>
      <c r="E770" s="53"/>
      <c r="F770" s="53"/>
      <c r="G770" s="52">
        <f>ROUND($C$16*Table5[[#This Row],[Hours]],2)</f>
        <v>0</v>
      </c>
      <c r="H770" s="47"/>
      <c r="I770" s="51"/>
      <c r="J770" s="50"/>
      <c r="K770" s="49"/>
      <c r="L770" s="48" t="str">
        <f>IF(AND(LEN(K770)&gt;0,D770="APPROVED"),VLOOKUP(Table5[[#This Row],[COMPLETION %]],COMPL_STATUS,2,1),"")</f>
        <v/>
      </c>
      <c r="M770" s="47"/>
      <c r="N770" s="47"/>
      <c r="O770" s="46"/>
    </row>
    <row r="771" spans="3:15" s="55" customFormat="1" ht="15">
      <c r="C771" s="54"/>
      <c r="D771" s="54"/>
      <c r="E771" s="53"/>
      <c r="F771" s="53"/>
      <c r="G771" s="52">
        <f>ROUND($C$16*Table5[[#This Row],[Hours]],2)</f>
        <v>0</v>
      </c>
      <c r="H771" s="47"/>
      <c r="I771" s="51"/>
      <c r="J771" s="50"/>
      <c r="K771" s="49"/>
      <c r="L771" s="48" t="str">
        <f>IF(AND(LEN(K771)&gt;0,D771="APPROVED"),VLOOKUP(Table5[[#This Row],[COMPLETION %]],COMPL_STATUS,2,1),"")</f>
        <v/>
      </c>
      <c r="M771" s="47"/>
      <c r="N771" s="47"/>
      <c r="O771" s="46"/>
    </row>
    <row r="772" spans="3:15" s="55" customFormat="1" ht="15">
      <c r="C772" s="54"/>
      <c r="D772" s="54"/>
      <c r="E772" s="53"/>
      <c r="F772" s="53"/>
      <c r="G772" s="52">
        <f>ROUND($C$16*Table5[[#This Row],[Hours]],2)</f>
        <v>0</v>
      </c>
      <c r="H772" s="47"/>
      <c r="I772" s="51"/>
      <c r="J772" s="50"/>
      <c r="K772" s="49"/>
      <c r="L772" s="48" t="str">
        <f>IF(AND(LEN(K772)&gt;0,D772="APPROVED"),VLOOKUP(Table5[[#This Row],[COMPLETION %]],COMPL_STATUS,2,1),"")</f>
        <v/>
      </c>
      <c r="M772" s="47"/>
      <c r="N772" s="47"/>
      <c r="O772" s="46"/>
    </row>
    <row r="773" spans="3:15" s="55" customFormat="1" ht="15">
      <c r="C773" s="54"/>
      <c r="D773" s="54"/>
      <c r="E773" s="53"/>
      <c r="F773" s="53"/>
      <c r="G773" s="52">
        <f>ROUND($C$16*Table5[[#This Row],[Hours]],2)</f>
        <v>0</v>
      </c>
      <c r="H773" s="47"/>
      <c r="I773" s="51"/>
      <c r="J773" s="50"/>
      <c r="K773" s="49"/>
      <c r="L773" s="48" t="str">
        <f>IF(AND(LEN(K773)&gt;0,D773="APPROVED"),VLOOKUP(Table5[[#This Row],[COMPLETION %]],COMPL_STATUS,2,1),"")</f>
        <v/>
      </c>
      <c r="M773" s="47"/>
      <c r="N773" s="47"/>
      <c r="O773" s="46"/>
    </row>
    <row r="774" spans="3:15" s="55" customFormat="1" ht="15">
      <c r="C774" s="54"/>
      <c r="D774" s="54"/>
      <c r="E774" s="53"/>
      <c r="F774" s="53"/>
      <c r="G774" s="52">
        <f>ROUND($C$16*Table5[[#This Row],[Hours]],2)</f>
        <v>0</v>
      </c>
      <c r="H774" s="47"/>
      <c r="I774" s="51"/>
      <c r="J774" s="50"/>
      <c r="K774" s="49"/>
      <c r="L774" s="48" t="str">
        <f>IF(AND(LEN(K774)&gt;0,D774="APPROVED"),VLOOKUP(Table5[[#This Row],[COMPLETION %]],COMPL_STATUS,2,1),"")</f>
        <v/>
      </c>
      <c r="M774" s="47"/>
      <c r="N774" s="47"/>
      <c r="O774" s="46"/>
    </row>
    <row r="775" spans="3:15" s="55" customFormat="1" ht="15">
      <c r="C775" s="54"/>
      <c r="D775" s="54"/>
      <c r="E775" s="53"/>
      <c r="F775" s="53"/>
      <c r="G775" s="52">
        <f>ROUND($C$16*Table5[[#This Row],[Hours]],2)</f>
        <v>0</v>
      </c>
      <c r="H775" s="47"/>
      <c r="I775" s="51"/>
      <c r="J775" s="50"/>
      <c r="K775" s="49"/>
      <c r="L775" s="48" t="str">
        <f>IF(AND(LEN(K775)&gt;0,D775="APPROVED"),VLOOKUP(Table5[[#This Row],[COMPLETION %]],COMPL_STATUS,2,1),"")</f>
        <v/>
      </c>
      <c r="M775" s="47"/>
      <c r="N775" s="47"/>
      <c r="O775" s="46"/>
    </row>
    <row r="776" spans="3:15" s="55" customFormat="1" ht="15">
      <c r="C776" s="54"/>
      <c r="D776" s="54"/>
      <c r="E776" s="53"/>
      <c r="F776" s="53"/>
      <c r="G776" s="52">
        <f>ROUND($C$16*Table5[[#This Row],[Hours]],2)</f>
        <v>0</v>
      </c>
      <c r="H776" s="47"/>
      <c r="I776" s="51"/>
      <c r="J776" s="50"/>
      <c r="K776" s="49"/>
      <c r="L776" s="48" t="str">
        <f>IF(AND(LEN(K776)&gt;0,D776="APPROVED"),VLOOKUP(Table5[[#This Row],[COMPLETION %]],COMPL_STATUS,2,1),"")</f>
        <v/>
      </c>
      <c r="M776" s="47"/>
      <c r="N776" s="47"/>
      <c r="O776" s="46"/>
    </row>
    <row r="777" spans="3:15" s="55" customFormat="1" ht="15">
      <c r="C777" s="54"/>
      <c r="D777" s="54"/>
      <c r="E777" s="53"/>
      <c r="F777" s="53"/>
      <c r="G777" s="52">
        <f>ROUND($C$16*Table5[[#This Row],[Hours]],2)</f>
        <v>0</v>
      </c>
      <c r="H777" s="47"/>
      <c r="I777" s="51"/>
      <c r="J777" s="50"/>
      <c r="K777" s="49"/>
      <c r="L777" s="48" t="str">
        <f>IF(AND(LEN(K777)&gt;0,D777="APPROVED"),VLOOKUP(Table5[[#This Row],[COMPLETION %]],COMPL_STATUS,2,1),"")</f>
        <v/>
      </c>
      <c r="M777" s="47"/>
      <c r="N777" s="47"/>
      <c r="O777" s="46"/>
    </row>
    <row r="778" spans="3:15" s="55" customFormat="1" ht="15">
      <c r="C778" s="54"/>
      <c r="D778" s="54"/>
      <c r="E778" s="53"/>
      <c r="F778" s="53"/>
      <c r="G778" s="52">
        <f>ROUND($C$16*Table5[[#This Row],[Hours]],2)</f>
        <v>0</v>
      </c>
      <c r="H778" s="47"/>
      <c r="I778" s="51"/>
      <c r="J778" s="50"/>
      <c r="K778" s="49"/>
      <c r="L778" s="48" t="str">
        <f>IF(AND(LEN(K778)&gt;0,D778="APPROVED"),VLOOKUP(Table5[[#This Row],[COMPLETION %]],COMPL_STATUS,2,1),"")</f>
        <v/>
      </c>
      <c r="M778" s="47"/>
      <c r="N778" s="47"/>
      <c r="O778" s="46"/>
    </row>
    <row r="779" spans="3:15" s="55" customFormat="1" ht="15">
      <c r="C779" s="54"/>
      <c r="D779" s="54"/>
      <c r="E779" s="53"/>
      <c r="F779" s="53"/>
      <c r="G779" s="52">
        <f>ROUND($C$16*Table5[[#This Row],[Hours]],2)</f>
        <v>0</v>
      </c>
      <c r="H779" s="47"/>
      <c r="I779" s="51"/>
      <c r="J779" s="50"/>
      <c r="K779" s="49"/>
      <c r="L779" s="48" t="str">
        <f>IF(AND(LEN(K779)&gt;0,D779="APPROVED"),VLOOKUP(Table5[[#This Row],[COMPLETION %]],COMPL_STATUS,2,1),"")</f>
        <v/>
      </c>
      <c r="M779" s="47"/>
      <c r="N779" s="47"/>
      <c r="O779" s="46"/>
    </row>
    <row r="780" spans="3:15" s="55" customFormat="1" ht="15">
      <c r="C780" s="54"/>
      <c r="D780" s="54"/>
      <c r="E780" s="53"/>
      <c r="F780" s="53"/>
      <c r="G780" s="52">
        <f>ROUND($C$16*Table5[[#This Row],[Hours]],2)</f>
        <v>0</v>
      </c>
      <c r="H780" s="47"/>
      <c r="I780" s="51"/>
      <c r="J780" s="50"/>
      <c r="K780" s="49"/>
      <c r="L780" s="48" t="str">
        <f>IF(AND(LEN(K780)&gt;0,D780="APPROVED"),VLOOKUP(Table5[[#This Row],[COMPLETION %]],COMPL_STATUS,2,1),"")</f>
        <v/>
      </c>
      <c r="M780" s="47"/>
      <c r="N780" s="47"/>
      <c r="O780" s="46"/>
    </row>
    <row r="781" spans="3:15" s="55" customFormat="1" ht="15">
      <c r="C781" s="54"/>
      <c r="D781" s="54"/>
      <c r="E781" s="53"/>
      <c r="F781" s="53"/>
      <c r="G781" s="52">
        <f>ROUND($C$16*Table5[[#This Row],[Hours]],2)</f>
        <v>0</v>
      </c>
      <c r="H781" s="47"/>
      <c r="I781" s="51"/>
      <c r="J781" s="50"/>
      <c r="K781" s="49"/>
      <c r="L781" s="48" t="str">
        <f>IF(AND(LEN(K781)&gt;0,D781="APPROVED"),VLOOKUP(Table5[[#This Row],[COMPLETION %]],COMPL_STATUS,2,1),"")</f>
        <v/>
      </c>
      <c r="M781" s="47"/>
      <c r="N781" s="47"/>
      <c r="O781" s="46"/>
    </row>
    <row r="782" spans="3:15" s="55" customFormat="1" ht="15">
      <c r="C782" s="54"/>
      <c r="D782" s="54"/>
      <c r="E782" s="53"/>
      <c r="F782" s="53"/>
      <c r="G782" s="52">
        <f>ROUND($C$16*Table5[[#This Row],[Hours]],2)</f>
        <v>0</v>
      </c>
      <c r="H782" s="47"/>
      <c r="I782" s="51"/>
      <c r="J782" s="50"/>
      <c r="K782" s="49"/>
      <c r="L782" s="48" t="str">
        <f>IF(AND(LEN(K782)&gt;0,D782="APPROVED"),VLOOKUP(Table5[[#This Row],[COMPLETION %]],COMPL_STATUS,2,1),"")</f>
        <v/>
      </c>
      <c r="M782" s="47"/>
      <c r="N782" s="47"/>
      <c r="O782" s="46"/>
    </row>
    <row r="783" spans="3:15" s="55" customFormat="1" ht="15">
      <c r="C783" s="54"/>
      <c r="D783" s="54"/>
      <c r="E783" s="53"/>
      <c r="F783" s="53"/>
      <c r="G783" s="52">
        <f>ROUND($C$16*Table5[[#This Row],[Hours]],2)</f>
        <v>0</v>
      </c>
      <c r="H783" s="47"/>
      <c r="I783" s="51"/>
      <c r="J783" s="50"/>
      <c r="K783" s="49"/>
      <c r="L783" s="48" t="str">
        <f>IF(AND(LEN(K783)&gt;0,D783="APPROVED"),VLOOKUP(Table5[[#This Row],[COMPLETION %]],COMPL_STATUS,2,1),"")</f>
        <v/>
      </c>
      <c r="M783" s="47"/>
      <c r="N783" s="47"/>
      <c r="O783" s="46"/>
    </row>
    <row r="784" spans="3:15" s="55" customFormat="1" ht="15">
      <c r="C784" s="54"/>
      <c r="D784" s="54"/>
      <c r="E784" s="53"/>
      <c r="F784" s="53"/>
      <c r="G784" s="52">
        <f>ROUND($C$16*Table5[[#This Row],[Hours]],2)</f>
        <v>0</v>
      </c>
      <c r="H784" s="47"/>
      <c r="I784" s="51"/>
      <c r="J784" s="50"/>
      <c r="K784" s="49"/>
      <c r="L784" s="48" t="str">
        <f>IF(AND(LEN(K784)&gt;0,D784="APPROVED"),VLOOKUP(Table5[[#This Row],[COMPLETION %]],COMPL_STATUS,2,1),"")</f>
        <v/>
      </c>
      <c r="M784" s="47"/>
      <c r="N784" s="47"/>
      <c r="O784" s="46"/>
    </row>
    <row r="785" spans="3:15" s="55" customFormat="1" ht="15">
      <c r="C785" s="54"/>
      <c r="D785" s="54"/>
      <c r="E785" s="53"/>
      <c r="F785" s="53"/>
      <c r="G785" s="52">
        <f>ROUND($C$16*Table5[[#This Row],[Hours]],2)</f>
        <v>0</v>
      </c>
      <c r="H785" s="47"/>
      <c r="I785" s="51"/>
      <c r="J785" s="50"/>
      <c r="K785" s="49"/>
      <c r="L785" s="48" t="str">
        <f>IF(AND(LEN(K785)&gt;0,D785="APPROVED"),VLOOKUP(Table5[[#This Row],[COMPLETION %]],COMPL_STATUS,2,1),"")</f>
        <v/>
      </c>
      <c r="M785" s="47"/>
      <c r="N785" s="47"/>
      <c r="O785" s="46"/>
    </row>
    <row r="786" spans="3:15" s="55" customFormat="1" ht="15">
      <c r="C786" s="54"/>
      <c r="D786" s="54"/>
      <c r="E786" s="53"/>
      <c r="F786" s="53"/>
      <c r="G786" s="52">
        <f>ROUND($C$16*Table5[[#This Row],[Hours]],2)</f>
        <v>0</v>
      </c>
      <c r="H786" s="47"/>
      <c r="I786" s="51"/>
      <c r="J786" s="50"/>
      <c r="K786" s="49"/>
      <c r="L786" s="48" t="str">
        <f>IF(AND(LEN(K786)&gt;0,D786="APPROVED"),VLOOKUP(Table5[[#This Row],[COMPLETION %]],COMPL_STATUS,2,1),"")</f>
        <v/>
      </c>
      <c r="M786" s="47"/>
      <c r="N786" s="47"/>
      <c r="O786" s="46"/>
    </row>
    <row r="787" spans="3:15" s="55" customFormat="1" ht="15">
      <c r="C787" s="54"/>
      <c r="D787" s="54"/>
      <c r="E787" s="53"/>
      <c r="F787" s="53"/>
      <c r="G787" s="52">
        <f>ROUND($C$16*Table5[[#This Row],[Hours]],2)</f>
        <v>0</v>
      </c>
      <c r="H787" s="47"/>
      <c r="I787" s="51"/>
      <c r="J787" s="50"/>
      <c r="K787" s="49"/>
      <c r="L787" s="48" t="str">
        <f>IF(AND(LEN(K787)&gt;0,D787="APPROVED"),VLOOKUP(Table5[[#This Row],[COMPLETION %]],COMPL_STATUS,2,1),"")</f>
        <v/>
      </c>
      <c r="M787" s="47"/>
      <c r="N787" s="47"/>
      <c r="O787" s="46"/>
    </row>
    <row r="788" spans="3:15" s="55" customFormat="1" ht="15">
      <c r="C788" s="54"/>
      <c r="D788" s="54"/>
      <c r="E788" s="53"/>
      <c r="F788" s="53"/>
      <c r="G788" s="52">
        <f>ROUND($C$16*Table5[[#This Row],[Hours]],2)</f>
        <v>0</v>
      </c>
      <c r="H788" s="47"/>
      <c r="I788" s="51"/>
      <c r="J788" s="50"/>
      <c r="K788" s="49"/>
      <c r="L788" s="48" t="str">
        <f>IF(AND(LEN(K788)&gt;0,D788="APPROVED"),VLOOKUP(Table5[[#This Row],[COMPLETION %]],COMPL_STATUS,2,1),"")</f>
        <v/>
      </c>
      <c r="M788" s="47"/>
      <c r="N788" s="47"/>
      <c r="O788" s="46"/>
    </row>
    <row r="789" spans="3:15" s="55" customFormat="1" ht="15">
      <c r="C789" s="54"/>
      <c r="D789" s="54"/>
      <c r="E789" s="53"/>
      <c r="F789" s="53"/>
      <c r="G789" s="52">
        <f>ROUND($C$16*Table5[[#This Row],[Hours]],2)</f>
        <v>0</v>
      </c>
      <c r="H789" s="47"/>
      <c r="I789" s="51"/>
      <c r="J789" s="50"/>
      <c r="K789" s="49"/>
      <c r="L789" s="48" t="str">
        <f>IF(AND(LEN(K789)&gt;0,D789="APPROVED"),VLOOKUP(Table5[[#This Row],[COMPLETION %]],COMPL_STATUS,2,1),"")</f>
        <v/>
      </c>
      <c r="M789" s="47"/>
      <c r="N789" s="47"/>
      <c r="O789" s="46"/>
    </row>
    <row r="790" spans="3:15" s="55" customFormat="1" ht="15">
      <c r="C790" s="54"/>
      <c r="D790" s="54"/>
      <c r="E790" s="53"/>
      <c r="F790" s="53"/>
      <c r="G790" s="52">
        <f>ROUND($C$16*Table5[[#This Row],[Hours]],2)</f>
        <v>0</v>
      </c>
      <c r="H790" s="47"/>
      <c r="I790" s="51"/>
      <c r="J790" s="50"/>
      <c r="K790" s="49"/>
      <c r="L790" s="48" t="str">
        <f>IF(AND(LEN(K790)&gt;0,D790="APPROVED"),VLOOKUP(Table5[[#This Row],[COMPLETION %]],COMPL_STATUS,2,1),"")</f>
        <v/>
      </c>
      <c r="M790" s="47"/>
      <c r="N790" s="47"/>
      <c r="O790" s="46"/>
    </row>
    <row r="791" spans="3:15" s="55" customFormat="1" ht="15">
      <c r="C791" s="54"/>
      <c r="D791" s="54"/>
      <c r="E791" s="53"/>
      <c r="F791" s="53"/>
      <c r="G791" s="52">
        <f>ROUND($C$16*Table5[[#This Row],[Hours]],2)</f>
        <v>0</v>
      </c>
      <c r="H791" s="47"/>
      <c r="I791" s="51"/>
      <c r="J791" s="50"/>
      <c r="K791" s="49"/>
      <c r="L791" s="48" t="str">
        <f>IF(AND(LEN(K791)&gt;0,D791="APPROVED"),VLOOKUP(Table5[[#This Row],[COMPLETION %]],COMPL_STATUS,2,1),"")</f>
        <v/>
      </c>
      <c r="M791" s="47"/>
      <c r="N791" s="47"/>
      <c r="O791" s="46"/>
    </row>
    <row r="792" spans="3:15" s="55" customFormat="1" ht="15">
      <c r="C792" s="54"/>
      <c r="D792" s="54"/>
      <c r="E792" s="53"/>
      <c r="F792" s="53"/>
      <c r="G792" s="52">
        <f>ROUND($C$16*Table5[[#This Row],[Hours]],2)</f>
        <v>0</v>
      </c>
      <c r="H792" s="47"/>
      <c r="I792" s="51"/>
      <c r="J792" s="50"/>
      <c r="K792" s="49"/>
      <c r="L792" s="48" t="str">
        <f>IF(AND(LEN(K792)&gt;0,D792="APPROVED"),VLOOKUP(Table5[[#This Row],[COMPLETION %]],COMPL_STATUS,2,1),"")</f>
        <v/>
      </c>
      <c r="M792" s="47"/>
      <c r="N792" s="47"/>
      <c r="O792" s="46"/>
    </row>
    <row r="793" spans="3:15" s="55" customFormat="1" ht="15">
      <c r="C793" s="54"/>
      <c r="D793" s="54"/>
      <c r="E793" s="53"/>
      <c r="F793" s="53"/>
      <c r="G793" s="52">
        <f>ROUND($C$16*Table5[[#This Row],[Hours]],2)</f>
        <v>0</v>
      </c>
      <c r="H793" s="47"/>
      <c r="I793" s="51"/>
      <c r="J793" s="50"/>
      <c r="K793" s="49"/>
      <c r="L793" s="48" t="str">
        <f>IF(AND(LEN(K793)&gt;0,D793="APPROVED"),VLOOKUP(Table5[[#This Row],[COMPLETION %]],COMPL_STATUS,2,1),"")</f>
        <v/>
      </c>
      <c r="M793" s="47"/>
      <c r="N793" s="47"/>
      <c r="O793" s="46"/>
    </row>
    <row r="794" spans="3:15" s="55" customFormat="1" ht="15">
      <c r="C794" s="54"/>
      <c r="D794" s="54"/>
      <c r="E794" s="53"/>
      <c r="F794" s="53"/>
      <c r="G794" s="52">
        <f>ROUND($C$16*Table5[[#This Row],[Hours]],2)</f>
        <v>0</v>
      </c>
      <c r="H794" s="47"/>
      <c r="I794" s="51"/>
      <c r="J794" s="50"/>
      <c r="K794" s="49"/>
      <c r="L794" s="48" t="str">
        <f>IF(AND(LEN(K794)&gt;0,D794="APPROVED"),VLOOKUP(Table5[[#This Row],[COMPLETION %]],COMPL_STATUS,2,1),"")</f>
        <v/>
      </c>
      <c r="M794" s="47"/>
      <c r="N794" s="47"/>
      <c r="O794" s="46"/>
    </row>
    <row r="795" spans="3:15" s="55" customFormat="1" ht="15">
      <c r="C795" s="54"/>
      <c r="D795" s="54"/>
      <c r="E795" s="53"/>
      <c r="F795" s="53"/>
      <c r="G795" s="52">
        <f>ROUND($C$16*Table5[[#This Row],[Hours]],2)</f>
        <v>0</v>
      </c>
      <c r="H795" s="47"/>
      <c r="I795" s="51"/>
      <c r="J795" s="50"/>
      <c r="K795" s="49"/>
      <c r="L795" s="48" t="str">
        <f>IF(AND(LEN(K795)&gt;0,D795="APPROVED"),VLOOKUP(Table5[[#This Row],[COMPLETION %]],COMPL_STATUS,2,1),"")</f>
        <v/>
      </c>
      <c r="M795" s="47"/>
      <c r="N795" s="47"/>
      <c r="O795" s="46"/>
    </row>
    <row r="796" spans="3:15" s="55" customFormat="1" ht="15">
      <c r="C796" s="54"/>
      <c r="D796" s="54"/>
      <c r="E796" s="53"/>
      <c r="F796" s="53"/>
      <c r="G796" s="52">
        <f>ROUND($C$16*Table5[[#This Row],[Hours]],2)</f>
        <v>0</v>
      </c>
      <c r="H796" s="47"/>
      <c r="I796" s="51"/>
      <c r="J796" s="50"/>
      <c r="K796" s="49"/>
      <c r="L796" s="48" t="str">
        <f>IF(AND(LEN(K796)&gt;0,D796="APPROVED"),VLOOKUP(Table5[[#This Row],[COMPLETION %]],COMPL_STATUS,2,1),"")</f>
        <v/>
      </c>
      <c r="M796" s="47"/>
      <c r="N796" s="47"/>
      <c r="O796" s="46"/>
    </row>
    <row r="797" spans="3:15" s="55" customFormat="1" ht="15">
      <c r="C797" s="54"/>
      <c r="D797" s="54"/>
      <c r="E797" s="53"/>
      <c r="F797" s="53"/>
      <c r="G797" s="52">
        <f>ROUND($C$16*Table5[[#This Row],[Hours]],2)</f>
        <v>0</v>
      </c>
      <c r="H797" s="47"/>
      <c r="I797" s="51"/>
      <c r="J797" s="50"/>
      <c r="K797" s="49"/>
      <c r="L797" s="48" t="str">
        <f>IF(AND(LEN(K797)&gt;0,D797="APPROVED"),VLOOKUP(Table5[[#This Row],[COMPLETION %]],COMPL_STATUS,2,1),"")</f>
        <v/>
      </c>
      <c r="M797" s="47"/>
      <c r="N797" s="47"/>
      <c r="O797" s="46"/>
    </row>
    <row r="798" spans="3:15" s="55" customFormat="1" ht="15">
      <c r="C798" s="54"/>
      <c r="D798" s="54"/>
      <c r="E798" s="53"/>
      <c r="F798" s="53"/>
      <c r="G798" s="52">
        <f>ROUND($C$16*Table5[[#This Row],[Hours]],2)</f>
        <v>0</v>
      </c>
      <c r="H798" s="47"/>
      <c r="I798" s="51"/>
      <c r="J798" s="50"/>
      <c r="K798" s="49"/>
      <c r="L798" s="48" t="str">
        <f>IF(AND(LEN(K798)&gt;0,D798="APPROVED"),VLOOKUP(Table5[[#This Row],[COMPLETION %]],COMPL_STATUS,2,1),"")</f>
        <v/>
      </c>
      <c r="M798" s="47"/>
      <c r="N798" s="47"/>
      <c r="O798" s="46"/>
    </row>
    <row r="799" spans="3:15" s="55" customFormat="1" ht="15">
      <c r="C799" s="54"/>
      <c r="D799" s="54"/>
      <c r="E799" s="53"/>
      <c r="F799" s="53"/>
      <c r="G799" s="52">
        <f>ROUND($C$16*Table5[[#This Row],[Hours]],2)</f>
        <v>0</v>
      </c>
      <c r="H799" s="47"/>
      <c r="I799" s="51"/>
      <c r="J799" s="50"/>
      <c r="K799" s="49"/>
      <c r="L799" s="48" t="str">
        <f>IF(AND(LEN(K799)&gt;0,D799="APPROVED"),VLOOKUP(Table5[[#This Row],[COMPLETION %]],COMPL_STATUS,2,1),"")</f>
        <v/>
      </c>
      <c r="M799" s="47"/>
      <c r="N799" s="47"/>
      <c r="O799" s="46"/>
    </row>
    <row r="800" spans="3:15" s="55" customFormat="1" ht="15">
      <c r="C800" s="54"/>
      <c r="D800" s="54"/>
      <c r="E800" s="53"/>
      <c r="F800" s="53"/>
      <c r="G800" s="52">
        <f>ROUND($C$16*Table5[[#This Row],[Hours]],2)</f>
        <v>0</v>
      </c>
      <c r="H800" s="47"/>
      <c r="I800" s="51"/>
      <c r="J800" s="50"/>
      <c r="K800" s="49"/>
      <c r="L800" s="48" t="str">
        <f>IF(AND(LEN(K800)&gt;0,D800="APPROVED"),VLOOKUP(Table5[[#This Row],[COMPLETION %]],COMPL_STATUS,2,1),"")</f>
        <v/>
      </c>
      <c r="M800" s="47"/>
      <c r="N800" s="47"/>
      <c r="O800" s="46"/>
    </row>
    <row r="801" spans="3:15" s="55" customFormat="1" ht="15">
      <c r="C801" s="54"/>
      <c r="D801" s="54"/>
      <c r="E801" s="53"/>
      <c r="F801" s="53"/>
      <c r="G801" s="52">
        <f>ROUND($C$16*Table5[[#This Row],[Hours]],2)</f>
        <v>0</v>
      </c>
      <c r="H801" s="47"/>
      <c r="I801" s="51"/>
      <c r="J801" s="50"/>
      <c r="K801" s="49"/>
      <c r="L801" s="48" t="str">
        <f>IF(AND(LEN(K801)&gt;0,D801="APPROVED"),VLOOKUP(Table5[[#This Row],[COMPLETION %]],COMPL_STATUS,2,1),"")</f>
        <v/>
      </c>
      <c r="M801" s="47"/>
      <c r="N801" s="47"/>
      <c r="O801" s="46"/>
    </row>
    <row r="802" spans="3:15" s="55" customFormat="1" ht="15">
      <c r="C802" s="54"/>
      <c r="D802" s="54"/>
      <c r="E802" s="53"/>
      <c r="F802" s="53"/>
      <c r="G802" s="52">
        <f>ROUND($C$16*Table5[[#This Row],[Hours]],2)</f>
        <v>0</v>
      </c>
      <c r="H802" s="47"/>
      <c r="I802" s="51"/>
      <c r="J802" s="50"/>
      <c r="K802" s="49"/>
      <c r="L802" s="48" t="str">
        <f>IF(AND(LEN(K802)&gt;0,D802="APPROVED"),VLOOKUP(Table5[[#This Row],[COMPLETION %]],COMPL_STATUS,2,1),"")</f>
        <v/>
      </c>
      <c r="M802" s="47"/>
      <c r="N802" s="47"/>
      <c r="O802" s="46"/>
    </row>
    <row r="803" spans="3:15" s="55" customFormat="1" ht="15">
      <c r="C803" s="54"/>
      <c r="D803" s="54"/>
      <c r="E803" s="53"/>
      <c r="F803" s="53"/>
      <c r="G803" s="52">
        <f>ROUND($C$16*Table5[[#This Row],[Hours]],2)</f>
        <v>0</v>
      </c>
      <c r="H803" s="47"/>
      <c r="I803" s="51"/>
      <c r="J803" s="50"/>
      <c r="K803" s="49"/>
      <c r="L803" s="48" t="str">
        <f>IF(AND(LEN(K803)&gt;0,D803="APPROVED"),VLOOKUP(Table5[[#This Row],[COMPLETION %]],COMPL_STATUS,2,1),"")</f>
        <v/>
      </c>
      <c r="M803" s="47"/>
      <c r="N803" s="47"/>
      <c r="O803" s="46"/>
    </row>
    <row r="804" spans="3:15" s="55" customFormat="1" ht="15">
      <c r="C804" s="54"/>
      <c r="D804" s="54"/>
      <c r="E804" s="53"/>
      <c r="F804" s="53"/>
      <c r="G804" s="52">
        <f>ROUND($C$16*Table5[[#This Row],[Hours]],2)</f>
        <v>0</v>
      </c>
      <c r="H804" s="47"/>
      <c r="I804" s="51"/>
      <c r="J804" s="50"/>
      <c r="K804" s="49"/>
      <c r="L804" s="48" t="str">
        <f>IF(AND(LEN(K804)&gt;0,D804="APPROVED"),VLOOKUP(Table5[[#This Row],[COMPLETION %]],COMPL_STATUS,2,1),"")</f>
        <v/>
      </c>
      <c r="M804" s="47"/>
      <c r="N804" s="47"/>
      <c r="O804" s="46"/>
    </row>
    <row r="805" spans="3:15" s="55" customFormat="1" ht="15">
      <c r="C805" s="54"/>
      <c r="D805" s="54"/>
      <c r="E805" s="53"/>
      <c r="F805" s="53"/>
      <c r="G805" s="52">
        <f>ROUND($C$16*Table5[[#This Row],[Hours]],2)</f>
        <v>0</v>
      </c>
      <c r="H805" s="47"/>
      <c r="I805" s="51"/>
      <c r="J805" s="50"/>
      <c r="K805" s="49"/>
      <c r="L805" s="48" t="str">
        <f>IF(AND(LEN(K805)&gt;0,D805="APPROVED"),VLOOKUP(Table5[[#This Row],[COMPLETION %]],COMPL_STATUS,2,1),"")</f>
        <v/>
      </c>
      <c r="M805" s="47"/>
      <c r="N805" s="47"/>
      <c r="O805" s="46"/>
    </row>
    <row r="806" spans="3:15" s="55" customFormat="1" ht="15">
      <c r="C806" s="54"/>
      <c r="D806" s="54"/>
      <c r="E806" s="53"/>
      <c r="F806" s="53"/>
      <c r="G806" s="52">
        <f>ROUND($C$16*Table5[[#This Row],[Hours]],2)</f>
        <v>0</v>
      </c>
      <c r="H806" s="47"/>
      <c r="I806" s="51"/>
      <c r="J806" s="50"/>
      <c r="K806" s="49"/>
      <c r="L806" s="48" t="str">
        <f>IF(AND(LEN(K806)&gt;0,D806="APPROVED"),VLOOKUP(Table5[[#This Row],[COMPLETION %]],COMPL_STATUS,2,1),"")</f>
        <v/>
      </c>
      <c r="M806" s="47"/>
      <c r="N806" s="47"/>
      <c r="O806" s="46"/>
    </row>
    <row r="807" spans="3:15" s="55" customFormat="1" ht="15">
      <c r="C807" s="54"/>
      <c r="D807" s="54"/>
      <c r="E807" s="53"/>
      <c r="F807" s="53"/>
      <c r="G807" s="52">
        <f>ROUND($C$16*Table5[[#This Row],[Hours]],2)</f>
        <v>0</v>
      </c>
      <c r="H807" s="47"/>
      <c r="I807" s="51"/>
      <c r="J807" s="50"/>
      <c r="K807" s="49"/>
      <c r="L807" s="48" t="str">
        <f>IF(AND(LEN(K807)&gt;0,D807="APPROVED"),VLOOKUP(Table5[[#This Row],[COMPLETION %]],COMPL_STATUS,2,1),"")</f>
        <v/>
      </c>
      <c r="M807" s="47"/>
      <c r="N807" s="47"/>
      <c r="O807" s="46"/>
    </row>
    <row r="808" spans="3:15" s="55" customFormat="1" ht="15">
      <c r="C808" s="54"/>
      <c r="D808" s="54"/>
      <c r="E808" s="53"/>
      <c r="F808" s="53"/>
      <c r="G808" s="52">
        <f>ROUND($C$16*Table5[[#This Row],[Hours]],2)</f>
        <v>0</v>
      </c>
      <c r="H808" s="47"/>
      <c r="I808" s="51"/>
      <c r="J808" s="50"/>
      <c r="K808" s="49"/>
      <c r="L808" s="48" t="str">
        <f>IF(AND(LEN(K808)&gt;0,D808="APPROVED"),VLOOKUP(Table5[[#This Row],[COMPLETION %]],COMPL_STATUS,2,1),"")</f>
        <v/>
      </c>
      <c r="M808" s="47"/>
      <c r="N808" s="47"/>
      <c r="O808" s="46"/>
    </row>
    <row r="809" spans="3:15" s="55" customFormat="1" ht="15">
      <c r="C809" s="54"/>
      <c r="D809" s="54"/>
      <c r="E809" s="53"/>
      <c r="F809" s="53"/>
      <c r="G809" s="52">
        <f>ROUND($C$16*Table5[[#This Row],[Hours]],2)</f>
        <v>0</v>
      </c>
      <c r="H809" s="47"/>
      <c r="I809" s="51"/>
      <c r="J809" s="50"/>
      <c r="K809" s="49"/>
      <c r="L809" s="48" t="str">
        <f>IF(AND(LEN(K809)&gt;0,D809="APPROVED"),VLOOKUP(Table5[[#This Row],[COMPLETION %]],COMPL_STATUS,2,1),"")</f>
        <v/>
      </c>
      <c r="M809" s="47"/>
      <c r="N809" s="47"/>
      <c r="O809" s="46"/>
    </row>
    <row r="810" spans="3:15" s="55" customFormat="1" ht="15">
      <c r="C810" s="54"/>
      <c r="D810" s="54"/>
      <c r="E810" s="53"/>
      <c r="F810" s="53"/>
      <c r="G810" s="52">
        <f>ROUND($C$16*Table5[[#This Row],[Hours]],2)</f>
        <v>0</v>
      </c>
      <c r="H810" s="47"/>
      <c r="I810" s="51"/>
      <c r="J810" s="50"/>
      <c r="K810" s="49"/>
      <c r="L810" s="48" t="str">
        <f>IF(AND(LEN(K810)&gt;0,D810="APPROVED"),VLOOKUP(Table5[[#This Row],[COMPLETION %]],COMPL_STATUS,2,1),"")</f>
        <v/>
      </c>
      <c r="M810" s="47"/>
      <c r="N810" s="47"/>
      <c r="O810" s="46"/>
    </row>
    <row r="811" spans="3:15" s="55" customFormat="1" ht="15">
      <c r="C811" s="54"/>
      <c r="D811" s="54"/>
      <c r="E811" s="53"/>
      <c r="F811" s="53"/>
      <c r="G811" s="52">
        <f>ROUND($C$16*Table5[[#This Row],[Hours]],2)</f>
        <v>0</v>
      </c>
      <c r="H811" s="47"/>
      <c r="I811" s="51"/>
      <c r="J811" s="50"/>
      <c r="K811" s="49"/>
      <c r="L811" s="48" t="str">
        <f>IF(AND(LEN(K811)&gt;0,D811="APPROVED"),VLOOKUP(Table5[[#This Row],[COMPLETION %]],COMPL_STATUS,2,1),"")</f>
        <v/>
      </c>
      <c r="M811" s="47"/>
      <c r="N811" s="47"/>
      <c r="O811" s="46"/>
    </row>
    <row r="812" spans="3:15" s="55" customFormat="1" ht="15">
      <c r="C812" s="54"/>
      <c r="D812" s="54"/>
      <c r="E812" s="53"/>
      <c r="F812" s="53"/>
      <c r="G812" s="52">
        <f>ROUND($C$16*Table5[[#This Row],[Hours]],2)</f>
        <v>0</v>
      </c>
      <c r="H812" s="47"/>
      <c r="I812" s="51"/>
      <c r="J812" s="50"/>
      <c r="K812" s="49"/>
      <c r="L812" s="48" t="str">
        <f>IF(AND(LEN(K812)&gt;0,D812="APPROVED"),VLOOKUP(Table5[[#This Row],[COMPLETION %]],COMPL_STATUS,2,1),"")</f>
        <v/>
      </c>
      <c r="M812" s="47"/>
      <c r="N812" s="47"/>
      <c r="O812" s="46"/>
    </row>
    <row r="813" spans="3:15" s="55" customFormat="1" ht="15">
      <c r="C813" s="54"/>
      <c r="D813" s="54"/>
      <c r="E813" s="53"/>
      <c r="F813" s="53"/>
      <c r="G813" s="52">
        <f>ROUND($C$16*Table5[[#This Row],[Hours]],2)</f>
        <v>0</v>
      </c>
      <c r="H813" s="47"/>
      <c r="I813" s="51"/>
      <c r="J813" s="50"/>
      <c r="K813" s="49"/>
      <c r="L813" s="48" t="str">
        <f>IF(AND(LEN(K813)&gt;0,D813="APPROVED"),VLOOKUP(Table5[[#This Row],[COMPLETION %]],COMPL_STATUS,2,1),"")</f>
        <v/>
      </c>
      <c r="M813" s="47"/>
      <c r="N813" s="47"/>
      <c r="O813" s="46"/>
    </row>
    <row r="814" spans="3:15" s="55" customFormat="1" ht="15">
      <c r="C814" s="54"/>
      <c r="D814" s="54"/>
      <c r="E814" s="53"/>
      <c r="F814" s="53"/>
      <c r="G814" s="52">
        <f>ROUND($C$16*Table5[[#This Row],[Hours]],2)</f>
        <v>0</v>
      </c>
      <c r="H814" s="47"/>
      <c r="I814" s="51"/>
      <c r="J814" s="50"/>
      <c r="K814" s="49"/>
      <c r="L814" s="48" t="str">
        <f>IF(AND(LEN(K814)&gt;0,D814="APPROVED"),VLOOKUP(Table5[[#This Row],[COMPLETION %]],COMPL_STATUS,2,1),"")</f>
        <v/>
      </c>
      <c r="M814" s="47"/>
      <c r="N814" s="47"/>
      <c r="O814" s="46"/>
    </row>
    <row r="815" spans="3:15" s="55" customFormat="1" ht="15">
      <c r="C815" s="54"/>
      <c r="D815" s="54"/>
      <c r="E815" s="53"/>
      <c r="F815" s="53"/>
      <c r="G815" s="52">
        <f>ROUND($C$16*Table5[[#This Row],[Hours]],2)</f>
        <v>0</v>
      </c>
      <c r="H815" s="47"/>
      <c r="I815" s="51"/>
      <c r="J815" s="50"/>
      <c r="K815" s="49"/>
      <c r="L815" s="48" t="str">
        <f>IF(AND(LEN(K815)&gt;0,D815="APPROVED"),VLOOKUP(Table5[[#This Row],[COMPLETION %]],COMPL_STATUS,2,1),"")</f>
        <v/>
      </c>
      <c r="M815" s="47"/>
      <c r="N815" s="47"/>
      <c r="O815" s="46"/>
    </row>
    <row r="816" spans="3:15" s="55" customFormat="1" ht="15">
      <c r="C816" s="54"/>
      <c r="D816" s="54"/>
      <c r="E816" s="53"/>
      <c r="F816" s="53"/>
      <c r="G816" s="52">
        <f>ROUND($C$16*Table5[[#This Row],[Hours]],2)</f>
        <v>0</v>
      </c>
      <c r="H816" s="47"/>
      <c r="I816" s="51"/>
      <c r="J816" s="50"/>
      <c r="K816" s="49"/>
      <c r="L816" s="48" t="str">
        <f>IF(AND(LEN(K816)&gt;0,D816="APPROVED"),VLOOKUP(Table5[[#This Row],[COMPLETION %]],COMPL_STATUS,2,1),"")</f>
        <v/>
      </c>
      <c r="M816" s="47"/>
      <c r="N816" s="47"/>
      <c r="O816" s="46"/>
    </row>
    <row r="817" spans="3:15" s="55" customFormat="1" ht="15">
      <c r="C817" s="54"/>
      <c r="D817" s="54"/>
      <c r="E817" s="53"/>
      <c r="F817" s="53"/>
      <c r="G817" s="52">
        <f>ROUND($C$16*Table5[[#This Row],[Hours]],2)</f>
        <v>0</v>
      </c>
      <c r="H817" s="47"/>
      <c r="I817" s="51"/>
      <c r="J817" s="50"/>
      <c r="K817" s="49"/>
      <c r="L817" s="48" t="str">
        <f>IF(AND(LEN(K817)&gt;0,D817="APPROVED"),VLOOKUP(Table5[[#This Row],[COMPLETION %]],COMPL_STATUS,2,1),"")</f>
        <v/>
      </c>
      <c r="M817" s="47"/>
      <c r="N817" s="47"/>
      <c r="O817" s="46"/>
    </row>
    <row r="818" spans="3:15" s="55" customFormat="1" ht="15">
      <c r="C818" s="54"/>
      <c r="D818" s="54"/>
      <c r="E818" s="53"/>
      <c r="F818" s="53"/>
      <c r="G818" s="52">
        <f>ROUND($C$16*Table5[[#This Row],[Hours]],2)</f>
        <v>0</v>
      </c>
      <c r="H818" s="47"/>
      <c r="I818" s="51"/>
      <c r="J818" s="50"/>
      <c r="K818" s="49"/>
      <c r="L818" s="48" t="str">
        <f>IF(AND(LEN(K818)&gt;0,D818="APPROVED"),VLOOKUP(Table5[[#This Row],[COMPLETION %]],COMPL_STATUS,2,1),"")</f>
        <v/>
      </c>
      <c r="M818" s="47"/>
      <c r="N818" s="47"/>
      <c r="O818" s="46"/>
    </row>
    <row r="819" spans="3:15" s="55" customFormat="1" ht="15">
      <c r="C819" s="54"/>
      <c r="D819" s="54"/>
      <c r="E819" s="53"/>
      <c r="F819" s="53"/>
      <c r="G819" s="52">
        <f>ROUND($C$16*Table5[[#This Row],[Hours]],2)</f>
        <v>0</v>
      </c>
      <c r="H819" s="47"/>
      <c r="I819" s="51"/>
      <c r="J819" s="50"/>
      <c r="K819" s="49"/>
      <c r="L819" s="48" t="str">
        <f>IF(AND(LEN(K819)&gt;0,D819="APPROVED"),VLOOKUP(Table5[[#This Row],[COMPLETION %]],COMPL_STATUS,2,1),"")</f>
        <v/>
      </c>
      <c r="M819" s="47"/>
      <c r="N819" s="47"/>
      <c r="O819" s="46"/>
    </row>
    <row r="820" spans="3:15" s="55" customFormat="1" ht="15">
      <c r="C820" s="54"/>
      <c r="D820" s="54"/>
      <c r="E820" s="53"/>
      <c r="F820" s="53"/>
      <c r="G820" s="52">
        <f>ROUND($C$16*Table5[[#This Row],[Hours]],2)</f>
        <v>0</v>
      </c>
      <c r="H820" s="47"/>
      <c r="I820" s="51"/>
      <c r="J820" s="50"/>
      <c r="K820" s="49"/>
      <c r="L820" s="48" t="str">
        <f>IF(AND(LEN(K820)&gt;0,D820="APPROVED"),VLOOKUP(Table5[[#This Row],[COMPLETION %]],COMPL_STATUS,2,1),"")</f>
        <v/>
      </c>
      <c r="M820" s="47"/>
      <c r="N820" s="47"/>
      <c r="O820" s="46"/>
    </row>
    <row r="821" spans="3:15" s="55" customFormat="1" ht="15">
      <c r="C821" s="54"/>
      <c r="D821" s="54"/>
      <c r="E821" s="53"/>
      <c r="F821" s="53"/>
      <c r="G821" s="52">
        <f>ROUND($C$16*Table5[[#This Row],[Hours]],2)</f>
        <v>0</v>
      </c>
      <c r="H821" s="47"/>
      <c r="I821" s="51"/>
      <c r="J821" s="50"/>
      <c r="K821" s="49"/>
      <c r="L821" s="48" t="str">
        <f>IF(AND(LEN(K821)&gt;0,D821="APPROVED"),VLOOKUP(Table5[[#This Row],[COMPLETION %]],COMPL_STATUS,2,1),"")</f>
        <v/>
      </c>
      <c r="M821" s="47"/>
      <c r="N821" s="47"/>
      <c r="O821" s="46"/>
    </row>
    <row r="822" spans="3:15" s="55" customFormat="1" ht="15">
      <c r="C822" s="54"/>
      <c r="D822" s="54"/>
      <c r="E822" s="53"/>
      <c r="F822" s="53"/>
      <c r="G822" s="52">
        <f>ROUND($C$16*Table5[[#This Row],[Hours]],2)</f>
        <v>0</v>
      </c>
      <c r="H822" s="47"/>
      <c r="I822" s="51"/>
      <c r="J822" s="50"/>
      <c r="K822" s="49"/>
      <c r="L822" s="48" t="str">
        <f>IF(AND(LEN(K822)&gt;0,D822="APPROVED"),VLOOKUP(Table5[[#This Row],[COMPLETION %]],COMPL_STATUS,2,1),"")</f>
        <v/>
      </c>
      <c r="M822" s="47"/>
      <c r="N822" s="47"/>
      <c r="O822" s="46"/>
    </row>
    <row r="823" spans="3:15" s="55" customFormat="1" ht="15">
      <c r="C823" s="54"/>
      <c r="D823" s="54"/>
      <c r="E823" s="53"/>
      <c r="F823" s="53"/>
      <c r="G823" s="52">
        <f>ROUND($C$16*Table5[[#This Row],[Hours]],2)</f>
        <v>0</v>
      </c>
      <c r="H823" s="47"/>
      <c r="I823" s="51"/>
      <c r="J823" s="50"/>
      <c r="K823" s="49"/>
      <c r="L823" s="48" t="str">
        <f>IF(AND(LEN(K823)&gt;0,D823="APPROVED"),VLOOKUP(Table5[[#This Row],[COMPLETION %]],COMPL_STATUS,2,1),"")</f>
        <v/>
      </c>
      <c r="M823" s="47"/>
      <c r="N823" s="47"/>
      <c r="O823" s="46"/>
    </row>
    <row r="824" spans="3:15" s="55" customFormat="1" ht="15">
      <c r="C824" s="54"/>
      <c r="D824" s="54"/>
      <c r="E824" s="53"/>
      <c r="F824" s="53"/>
      <c r="G824" s="52">
        <f>ROUND($C$16*Table5[[#This Row],[Hours]],2)</f>
        <v>0</v>
      </c>
      <c r="H824" s="47"/>
      <c r="I824" s="51"/>
      <c r="J824" s="50"/>
      <c r="K824" s="49"/>
      <c r="L824" s="48" t="str">
        <f>IF(AND(LEN(K824)&gt;0,D824="APPROVED"),VLOOKUP(Table5[[#This Row],[COMPLETION %]],COMPL_STATUS,2,1),"")</f>
        <v/>
      </c>
      <c r="M824" s="47"/>
      <c r="N824" s="47"/>
      <c r="O824" s="46"/>
    </row>
    <row r="825" spans="3:15" s="55" customFormat="1" ht="15">
      <c r="C825" s="54"/>
      <c r="D825" s="54"/>
      <c r="E825" s="53"/>
      <c r="F825" s="53"/>
      <c r="G825" s="52">
        <f>ROUND($C$16*Table5[[#This Row],[Hours]],2)</f>
        <v>0</v>
      </c>
      <c r="H825" s="47"/>
      <c r="I825" s="51"/>
      <c r="J825" s="50"/>
      <c r="K825" s="49"/>
      <c r="L825" s="48" t="str">
        <f>IF(AND(LEN(K825)&gt;0,D825="APPROVED"),VLOOKUP(Table5[[#This Row],[COMPLETION %]],COMPL_STATUS,2,1),"")</f>
        <v/>
      </c>
      <c r="M825" s="47"/>
      <c r="N825" s="47"/>
      <c r="O825" s="46"/>
    </row>
    <row r="826" spans="3:15" s="55" customFormat="1" ht="15">
      <c r="C826" s="54"/>
      <c r="D826" s="54"/>
      <c r="E826" s="53"/>
      <c r="F826" s="53"/>
      <c r="G826" s="52">
        <f>ROUND($C$16*Table5[[#This Row],[Hours]],2)</f>
        <v>0</v>
      </c>
      <c r="H826" s="47"/>
      <c r="I826" s="51"/>
      <c r="J826" s="50"/>
      <c r="K826" s="49"/>
      <c r="L826" s="48" t="str">
        <f>IF(AND(LEN(K826)&gt;0,D826="APPROVED"),VLOOKUP(Table5[[#This Row],[COMPLETION %]],COMPL_STATUS,2,1),"")</f>
        <v/>
      </c>
      <c r="M826" s="47"/>
      <c r="N826" s="47"/>
      <c r="O826" s="46"/>
    </row>
    <row r="827" spans="3:15" s="55" customFormat="1" ht="15">
      <c r="C827" s="54"/>
      <c r="D827" s="54"/>
      <c r="E827" s="53"/>
      <c r="F827" s="53"/>
      <c r="G827" s="52">
        <f>ROUND($C$16*Table5[[#This Row],[Hours]],2)</f>
        <v>0</v>
      </c>
      <c r="H827" s="47"/>
      <c r="I827" s="51"/>
      <c r="J827" s="50"/>
      <c r="K827" s="49"/>
      <c r="L827" s="48" t="str">
        <f>IF(AND(LEN(K827)&gt;0,D827="APPROVED"),VLOOKUP(Table5[[#This Row],[COMPLETION %]],COMPL_STATUS,2,1),"")</f>
        <v/>
      </c>
      <c r="M827" s="47"/>
      <c r="N827" s="47"/>
      <c r="O827" s="46"/>
    </row>
    <row r="828" spans="3:15" s="55" customFormat="1" ht="15">
      <c r="C828" s="54"/>
      <c r="D828" s="54"/>
      <c r="E828" s="53"/>
      <c r="F828" s="53"/>
      <c r="G828" s="52">
        <f>ROUND($C$16*Table5[[#This Row],[Hours]],2)</f>
        <v>0</v>
      </c>
      <c r="H828" s="47"/>
      <c r="I828" s="51"/>
      <c r="J828" s="50"/>
      <c r="K828" s="49"/>
      <c r="L828" s="48" t="str">
        <f>IF(AND(LEN(K828)&gt;0,D828="APPROVED"),VLOOKUP(Table5[[#This Row],[COMPLETION %]],COMPL_STATUS,2,1),"")</f>
        <v/>
      </c>
      <c r="M828" s="47"/>
      <c r="N828" s="47"/>
      <c r="O828" s="46"/>
    </row>
    <row r="829" spans="3:15" s="55" customFormat="1" ht="15">
      <c r="C829" s="54"/>
      <c r="D829" s="54"/>
      <c r="E829" s="53"/>
      <c r="F829" s="53"/>
      <c r="G829" s="52">
        <f>ROUND($C$16*Table5[[#This Row],[Hours]],2)</f>
        <v>0</v>
      </c>
      <c r="H829" s="47"/>
      <c r="I829" s="51"/>
      <c r="J829" s="50"/>
      <c r="K829" s="49"/>
      <c r="L829" s="48" t="str">
        <f>IF(AND(LEN(K829)&gt;0,D829="APPROVED"),VLOOKUP(Table5[[#This Row],[COMPLETION %]],COMPL_STATUS,2,1),"")</f>
        <v/>
      </c>
      <c r="M829" s="47"/>
      <c r="N829" s="47"/>
      <c r="O829" s="46"/>
    </row>
    <row r="830" spans="3:15" s="55" customFormat="1" ht="15">
      <c r="C830" s="54"/>
      <c r="D830" s="54"/>
      <c r="E830" s="53"/>
      <c r="F830" s="53"/>
      <c r="G830" s="52">
        <f>ROUND($C$16*Table5[[#This Row],[Hours]],2)</f>
        <v>0</v>
      </c>
      <c r="H830" s="47"/>
      <c r="I830" s="51"/>
      <c r="J830" s="50"/>
      <c r="K830" s="49"/>
      <c r="L830" s="48" t="str">
        <f>IF(AND(LEN(K830)&gt;0,D830="APPROVED"),VLOOKUP(Table5[[#This Row],[COMPLETION %]],COMPL_STATUS,2,1),"")</f>
        <v/>
      </c>
      <c r="M830" s="47"/>
      <c r="N830" s="47"/>
      <c r="O830" s="46"/>
    </row>
    <row r="831" spans="3:15" s="55" customFormat="1" ht="15">
      <c r="C831" s="54"/>
      <c r="D831" s="54"/>
      <c r="E831" s="53"/>
      <c r="F831" s="53"/>
      <c r="G831" s="52">
        <f>ROUND($C$16*Table5[[#This Row],[Hours]],2)</f>
        <v>0</v>
      </c>
      <c r="H831" s="47"/>
      <c r="I831" s="51"/>
      <c r="J831" s="50"/>
      <c r="K831" s="49"/>
      <c r="L831" s="48" t="str">
        <f>IF(AND(LEN(K831)&gt;0,D831="APPROVED"),VLOOKUP(Table5[[#This Row],[COMPLETION %]],COMPL_STATUS,2,1),"")</f>
        <v/>
      </c>
      <c r="M831" s="47"/>
      <c r="N831" s="47"/>
      <c r="O831" s="46"/>
    </row>
    <row r="832" spans="3:15" s="55" customFormat="1" ht="15">
      <c r="C832" s="54"/>
      <c r="D832" s="54"/>
      <c r="E832" s="53"/>
      <c r="F832" s="53"/>
      <c r="G832" s="52">
        <f>ROUND($C$16*Table5[[#This Row],[Hours]],2)</f>
        <v>0</v>
      </c>
      <c r="H832" s="47"/>
      <c r="I832" s="51"/>
      <c r="J832" s="50"/>
      <c r="K832" s="49"/>
      <c r="L832" s="48" t="str">
        <f>IF(AND(LEN(K832)&gt;0,D832="APPROVED"),VLOOKUP(Table5[[#This Row],[COMPLETION %]],COMPL_STATUS,2,1),"")</f>
        <v/>
      </c>
      <c r="M832" s="47"/>
      <c r="N832" s="47"/>
      <c r="O832" s="46"/>
    </row>
    <row r="833" spans="3:15" s="55" customFormat="1" ht="15">
      <c r="C833" s="54"/>
      <c r="D833" s="54"/>
      <c r="E833" s="53"/>
      <c r="F833" s="53"/>
      <c r="G833" s="52">
        <f>ROUND($C$16*Table5[[#This Row],[Hours]],2)</f>
        <v>0</v>
      </c>
      <c r="H833" s="47"/>
      <c r="I833" s="51"/>
      <c r="J833" s="50"/>
      <c r="K833" s="49"/>
      <c r="L833" s="48" t="str">
        <f>IF(AND(LEN(K833)&gt;0,D833="APPROVED"),VLOOKUP(Table5[[#This Row],[COMPLETION %]],COMPL_STATUS,2,1),"")</f>
        <v/>
      </c>
      <c r="M833" s="47"/>
      <c r="N833" s="47"/>
      <c r="O833" s="46"/>
    </row>
    <row r="834" spans="3:15" s="55" customFormat="1" ht="15">
      <c r="C834" s="54"/>
      <c r="D834" s="54"/>
      <c r="E834" s="53"/>
      <c r="F834" s="53"/>
      <c r="G834" s="52">
        <f>ROUND($C$16*Table5[[#This Row],[Hours]],2)</f>
        <v>0</v>
      </c>
      <c r="H834" s="47"/>
      <c r="I834" s="51"/>
      <c r="J834" s="50"/>
      <c r="K834" s="49"/>
      <c r="L834" s="48" t="str">
        <f>IF(AND(LEN(K834)&gt;0,D834="APPROVED"),VLOOKUP(Table5[[#This Row],[COMPLETION %]],COMPL_STATUS,2,1),"")</f>
        <v/>
      </c>
      <c r="M834" s="47"/>
      <c r="N834" s="47"/>
      <c r="O834" s="46"/>
    </row>
    <row r="835" spans="3:15" s="55" customFormat="1" ht="15">
      <c r="C835" s="54"/>
      <c r="D835" s="54"/>
      <c r="E835" s="53"/>
      <c r="F835" s="53"/>
      <c r="G835" s="52">
        <f>ROUND($C$16*Table5[[#This Row],[Hours]],2)</f>
        <v>0</v>
      </c>
      <c r="H835" s="47"/>
      <c r="I835" s="51"/>
      <c r="J835" s="50"/>
      <c r="K835" s="49"/>
      <c r="L835" s="48" t="str">
        <f>IF(AND(LEN(K835)&gt;0,D835="APPROVED"),VLOOKUP(Table5[[#This Row],[COMPLETION %]],COMPL_STATUS,2,1),"")</f>
        <v/>
      </c>
      <c r="M835" s="47"/>
      <c r="N835" s="47"/>
      <c r="O835" s="46"/>
    </row>
    <row r="836" spans="3:15" s="55" customFormat="1" ht="15">
      <c r="C836" s="54"/>
      <c r="D836" s="54"/>
      <c r="E836" s="53"/>
      <c r="F836" s="53"/>
      <c r="G836" s="52">
        <f>ROUND($C$16*Table5[[#This Row],[Hours]],2)</f>
        <v>0</v>
      </c>
      <c r="H836" s="47"/>
      <c r="I836" s="51"/>
      <c r="J836" s="50"/>
      <c r="K836" s="49"/>
      <c r="L836" s="48" t="str">
        <f>IF(AND(LEN(K836)&gt;0,D836="APPROVED"),VLOOKUP(Table5[[#This Row],[COMPLETION %]],COMPL_STATUS,2,1),"")</f>
        <v/>
      </c>
      <c r="M836" s="47"/>
      <c r="N836" s="47"/>
      <c r="O836" s="46"/>
    </row>
    <row r="837" spans="3:15" s="55" customFormat="1" ht="15">
      <c r="C837" s="54"/>
      <c r="D837" s="54"/>
      <c r="E837" s="53"/>
      <c r="F837" s="53"/>
      <c r="G837" s="52">
        <f>ROUND($C$16*Table5[[#This Row],[Hours]],2)</f>
        <v>0</v>
      </c>
      <c r="H837" s="47"/>
      <c r="I837" s="51"/>
      <c r="J837" s="50"/>
      <c r="K837" s="49"/>
      <c r="L837" s="48" t="str">
        <f>IF(AND(LEN(K837)&gt;0,D837="APPROVED"),VLOOKUP(Table5[[#This Row],[COMPLETION %]],COMPL_STATUS,2,1),"")</f>
        <v/>
      </c>
      <c r="M837" s="47"/>
      <c r="N837" s="47"/>
      <c r="O837" s="46"/>
    </row>
    <row r="838" spans="3:15" s="55" customFormat="1" ht="15">
      <c r="C838" s="54"/>
      <c r="D838" s="54"/>
      <c r="E838" s="53"/>
      <c r="F838" s="53"/>
      <c r="G838" s="52">
        <f>ROUND($C$16*Table5[[#This Row],[Hours]],2)</f>
        <v>0</v>
      </c>
      <c r="H838" s="47"/>
      <c r="I838" s="51"/>
      <c r="J838" s="50"/>
      <c r="K838" s="49"/>
      <c r="L838" s="48" t="str">
        <f>IF(AND(LEN(K838)&gt;0,D838="APPROVED"),VLOOKUP(Table5[[#This Row],[COMPLETION %]],COMPL_STATUS,2,1),"")</f>
        <v/>
      </c>
      <c r="M838" s="47"/>
      <c r="N838" s="47"/>
      <c r="O838" s="46"/>
    </row>
    <row r="839" spans="3:15" s="55" customFormat="1" ht="15">
      <c r="C839" s="54"/>
      <c r="D839" s="54"/>
      <c r="E839" s="53"/>
      <c r="F839" s="53"/>
      <c r="G839" s="52">
        <f>ROUND($C$16*Table5[[#This Row],[Hours]],2)</f>
        <v>0</v>
      </c>
      <c r="H839" s="47"/>
      <c r="I839" s="51"/>
      <c r="J839" s="50"/>
      <c r="K839" s="49"/>
      <c r="L839" s="48" t="str">
        <f>IF(AND(LEN(K839)&gt;0,D839="APPROVED"),VLOOKUP(Table5[[#This Row],[COMPLETION %]],COMPL_STATUS,2,1),"")</f>
        <v/>
      </c>
      <c r="M839" s="47"/>
      <c r="N839" s="47"/>
      <c r="O839" s="46"/>
    </row>
    <row r="840" spans="3:15" s="55" customFormat="1" ht="15">
      <c r="C840" s="54"/>
      <c r="D840" s="54"/>
      <c r="E840" s="53"/>
      <c r="F840" s="53"/>
      <c r="G840" s="52">
        <f>ROUND($C$16*Table5[[#This Row],[Hours]],2)</f>
        <v>0</v>
      </c>
      <c r="H840" s="47"/>
      <c r="I840" s="51"/>
      <c r="J840" s="50"/>
      <c r="K840" s="49"/>
      <c r="L840" s="48" t="str">
        <f>IF(AND(LEN(K840)&gt;0,D840="APPROVED"),VLOOKUP(Table5[[#This Row],[COMPLETION %]],COMPL_STATUS,2,1),"")</f>
        <v/>
      </c>
      <c r="M840" s="47"/>
      <c r="N840" s="47"/>
      <c r="O840" s="46"/>
    </row>
    <row r="841" spans="3:15" s="55" customFormat="1" ht="15">
      <c r="C841" s="54"/>
      <c r="D841" s="54"/>
      <c r="E841" s="53"/>
      <c r="F841" s="53"/>
      <c r="G841" s="52">
        <f>ROUND($C$16*Table5[[#This Row],[Hours]],2)</f>
        <v>0</v>
      </c>
      <c r="H841" s="47"/>
      <c r="I841" s="51"/>
      <c r="J841" s="50"/>
      <c r="K841" s="49"/>
      <c r="L841" s="48" t="str">
        <f>IF(AND(LEN(K841)&gt;0,D841="APPROVED"),VLOOKUP(Table5[[#This Row],[COMPLETION %]],COMPL_STATUS,2,1),"")</f>
        <v/>
      </c>
      <c r="M841" s="47"/>
      <c r="N841" s="47"/>
      <c r="O841" s="46"/>
    </row>
    <row r="842" spans="3:15" s="55" customFormat="1" ht="15">
      <c r="C842" s="54"/>
      <c r="D842" s="54"/>
      <c r="E842" s="53"/>
      <c r="F842" s="53"/>
      <c r="G842" s="52">
        <f>ROUND($C$16*Table5[[#This Row],[Hours]],2)</f>
        <v>0</v>
      </c>
      <c r="H842" s="47"/>
      <c r="I842" s="51"/>
      <c r="J842" s="50"/>
      <c r="K842" s="49"/>
      <c r="L842" s="48" t="str">
        <f>IF(AND(LEN(K842)&gt;0,D842="APPROVED"),VLOOKUP(Table5[[#This Row],[COMPLETION %]],COMPL_STATUS,2,1),"")</f>
        <v/>
      </c>
      <c r="M842" s="47"/>
      <c r="N842" s="47"/>
      <c r="O842" s="46"/>
    </row>
    <row r="843" spans="3:15" s="55" customFormat="1" ht="15">
      <c r="C843" s="54"/>
      <c r="D843" s="54"/>
      <c r="E843" s="53"/>
      <c r="F843" s="53"/>
      <c r="G843" s="52">
        <f>ROUND($C$16*Table5[[#This Row],[Hours]],2)</f>
        <v>0</v>
      </c>
      <c r="H843" s="47"/>
      <c r="I843" s="51"/>
      <c r="J843" s="50"/>
      <c r="K843" s="49"/>
      <c r="L843" s="48" t="str">
        <f>IF(AND(LEN(K843)&gt;0,D843="APPROVED"),VLOOKUP(Table5[[#This Row],[COMPLETION %]],COMPL_STATUS,2,1),"")</f>
        <v/>
      </c>
      <c r="M843" s="47"/>
      <c r="N843" s="47"/>
      <c r="O843" s="46"/>
    </row>
    <row r="844" spans="3:15" s="55" customFormat="1" ht="15">
      <c r="C844" s="54"/>
      <c r="D844" s="54"/>
      <c r="E844" s="53"/>
      <c r="F844" s="53"/>
      <c r="G844" s="52">
        <f>ROUND($C$16*Table5[[#This Row],[Hours]],2)</f>
        <v>0</v>
      </c>
      <c r="H844" s="47"/>
      <c r="I844" s="51"/>
      <c r="J844" s="50"/>
      <c r="K844" s="49"/>
      <c r="L844" s="48" t="str">
        <f>IF(AND(LEN(K844)&gt;0,D844="APPROVED"),VLOOKUP(Table5[[#This Row],[COMPLETION %]],COMPL_STATUS,2,1),"")</f>
        <v/>
      </c>
      <c r="M844" s="47"/>
      <c r="N844" s="47"/>
      <c r="O844" s="46"/>
    </row>
    <row r="845" spans="3:15" s="55" customFormat="1" ht="15">
      <c r="C845" s="54"/>
      <c r="D845" s="54"/>
      <c r="E845" s="53"/>
      <c r="F845" s="53"/>
      <c r="G845" s="52">
        <f>ROUND($C$16*Table5[[#This Row],[Hours]],2)</f>
        <v>0</v>
      </c>
      <c r="H845" s="47"/>
      <c r="I845" s="51"/>
      <c r="J845" s="50"/>
      <c r="K845" s="49"/>
      <c r="L845" s="48" t="str">
        <f>IF(AND(LEN(K845)&gt;0,D845="APPROVED"),VLOOKUP(Table5[[#This Row],[COMPLETION %]],COMPL_STATUS,2,1),"")</f>
        <v/>
      </c>
      <c r="M845" s="47"/>
      <c r="N845" s="47"/>
      <c r="O845" s="46"/>
    </row>
    <row r="846" spans="3:15" s="55" customFormat="1" ht="15">
      <c r="C846" s="54"/>
      <c r="D846" s="54"/>
      <c r="E846" s="53"/>
      <c r="F846" s="53"/>
      <c r="G846" s="52">
        <f>ROUND($C$16*Table5[[#This Row],[Hours]],2)</f>
        <v>0</v>
      </c>
      <c r="H846" s="47"/>
      <c r="I846" s="51"/>
      <c r="J846" s="50"/>
      <c r="K846" s="49"/>
      <c r="L846" s="48" t="str">
        <f>IF(AND(LEN(K846)&gt;0,D846="APPROVED"),VLOOKUP(Table5[[#This Row],[COMPLETION %]],COMPL_STATUS,2,1),"")</f>
        <v/>
      </c>
      <c r="M846" s="47"/>
      <c r="N846" s="47"/>
      <c r="O846" s="46"/>
    </row>
    <row r="847" spans="3:15" s="55" customFormat="1" ht="15">
      <c r="C847" s="54"/>
      <c r="D847" s="54"/>
      <c r="E847" s="53"/>
      <c r="F847" s="53"/>
      <c r="G847" s="52">
        <f>ROUND($C$16*Table5[[#This Row],[Hours]],2)</f>
        <v>0</v>
      </c>
      <c r="H847" s="47"/>
      <c r="I847" s="51"/>
      <c r="J847" s="50"/>
      <c r="K847" s="49"/>
      <c r="L847" s="48" t="str">
        <f>IF(AND(LEN(K847)&gt;0,D847="APPROVED"),VLOOKUP(Table5[[#This Row],[COMPLETION %]],COMPL_STATUS,2,1),"")</f>
        <v/>
      </c>
      <c r="M847" s="47"/>
      <c r="N847" s="47"/>
      <c r="O847" s="46"/>
    </row>
    <row r="848" spans="3:15" s="55" customFormat="1" ht="15">
      <c r="C848" s="54"/>
      <c r="D848" s="54"/>
      <c r="E848" s="53"/>
      <c r="F848" s="53"/>
      <c r="G848" s="52">
        <f>ROUND($C$16*Table5[[#This Row],[Hours]],2)</f>
        <v>0</v>
      </c>
      <c r="H848" s="47"/>
      <c r="I848" s="51"/>
      <c r="J848" s="50"/>
      <c r="K848" s="49"/>
      <c r="L848" s="48" t="str">
        <f>IF(AND(LEN(K848)&gt;0,D848="APPROVED"),VLOOKUP(Table5[[#This Row],[COMPLETION %]],COMPL_STATUS,2,1),"")</f>
        <v/>
      </c>
      <c r="M848" s="47"/>
      <c r="N848" s="47"/>
      <c r="O848" s="46"/>
    </row>
    <row r="849" spans="3:15" s="55" customFormat="1" ht="15">
      <c r="C849" s="54"/>
      <c r="D849" s="54"/>
      <c r="E849" s="53"/>
      <c r="F849" s="53"/>
      <c r="G849" s="52">
        <f>ROUND($C$16*Table5[[#This Row],[Hours]],2)</f>
        <v>0</v>
      </c>
      <c r="H849" s="47"/>
      <c r="I849" s="51"/>
      <c r="J849" s="50"/>
      <c r="K849" s="49"/>
      <c r="L849" s="48" t="str">
        <f>IF(AND(LEN(K849)&gt;0,D849="APPROVED"),VLOOKUP(Table5[[#This Row],[COMPLETION %]],COMPL_STATUS,2,1),"")</f>
        <v/>
      </c>
      <c r="M849" s="47"/>
      <c r="N849" s="47"/>
      <c r="O849" s="46"/>
    </row>
    <row r="850" spans="3:15" s="55" customFormat="1" ht="15">
      <c r="C850" s="54"/>
      <c r="D850" s="54"/>
      <c r="E850" s="53"/>
      <c r="F850" s="53"/>
      <c r="G850" s="52">
        <f>ROUND($C$16*Table5[[#This Row],[Hours]],2)</f>
        <v>0</v>
      </c>
      <c r="H850" s="47"/>
      <c r="I850" s="51"/>
      <c r="J850" s="50"/>
      <c r="K850" s="49"/>
      <c r="L850" s="48" t="str">
        <f>IF(AND(LEN(K850)&gt;0,D850="APPROVED"),VLOOKUP(Table5[[#This Row],[COMPLETION %]],COMPL_STATUS,2,1),"")</f>
        <v/>
      </c>
      <c r="M850" s="47"/>
      <c r="N850" s="47"/>
      <c r="O850" s="46"/>
    </row>
    <row r="851" spans="3:15" s="55" customFormat="1" ht="15">
      <c r="C851" s="54"/>
      <c r="D851" s="54"/>
      <c r="E851" s="53"/>
      <c r="F851" s="53"/>
      <c r="G851" s="52">
        <f>ROUND($C$16*Table5[[#This Row],[Hours]],2)</f>
        <v>0</v>
      </c>
      <c r="H851" s="47"/>
      <c r="I851" s="51"/>
      <c r="J851" s="50"/>
      <c r="K851" s="49"/>
      <c r="L851" s="48" t="str">
        <f>IF(AND(LEN(K851)&gt;0,D851="APPROVED"),VLOOKUP(Table5[[#This Row],[COMPLETION %]],COMPL_STATUS,2,1),"")</f>
        <v/>
      </c>
      <c r="M851" s="47"/>
      <c r="N851" s="47"/>
      <c r="O851" s="46"/>
    </row>
    <row r="852" spans="3:15" s="55" customFormat="1" ht="15">
      <c r="C852" s="54"/>
      <c r="D852" s="54"/>
      <c r="E852" s="53"/>
      <c r="F852" s="53"/>
      <c r="G852" s="52">
        <f>ROUND($C$16*Table5[[#This Row],[Hours]],2)</f>
        <v>0</v>
      </c>
      <c r="H852" s="47"/>
      <c r="I852" s="51"/>
      <c r="J852" s="50"/>
      <c r="K852" s="49"/>
      <c r="L852" s="48" t="str">
        <f>IF(AND(LEN(K852)&gt;0,D852="APPROVED"),VLOOKUP(Table5[[#This Row],[COMPLETION %]],COMPL_STATUS,2,1),"")</f>
        <v/>
      </c>
      <c r="M852" s="47"/>
      <c r="N852" s="47"/>
      <c r="O852" s="46"/>
    </row>
    <row r="853" spans="3:15" s="55" customFormat="1" ht="15">
      <c r="C853" s="54"/>
      <c r="D853" s="54"/>
      <c r="E853" s="53"/>
      <c r="F853" s="53"/>
      <c r="G853" s="52">
        <f>ROUND($C$16*Table5[[#This Row],[Hours]],2)</f>
        <v>0</v>
      </c>
      <c r="H853" s="47"/>
      <c r="I853" s="51"/>
      <c r="J853" s="50"/>
      <c r="K853" s="49"/>
      <c r="L853" s="48" t="str">
        <f>IF(AND(LEN(K853)&gt;0,D853="APPROVED"),VLOOKUP(Table5[[#This Row],[COMPLETION %]],COMPL_STATUS,2,1),"")</f>
        <v/>
      </c>
      <c r="M853" s="47"/>
      <c r="N853" s="47"/>
      <c r="O853" s="46"/>
    </row>
    <row r="854" spans="3:15" s="55" customFormat="1" ht="15">
      <c r="C854" s="54"/>
      <c r="D854" s="54"/>
      <c r="E854" s="53"/>
      <c r="F854" s="53"/>
      <c r="G854" s="52">
        <f>ROUND($C$16*Table5[[#This Row],[Hours]],2)</f>
        <v>0</v>
      </c>
      <c r="H854" s="47"/>
      <c r="I854" s="51"/>
      <c r="J854" s="50"/>
      <c r="K854" s="49"/>
      <c r="L854" s="48" t="str">
        <f>IF(AND(LEN(K854)&gt;0,D854="APPROVED"),VLOOKUP(Table5[[#This Row],[COMPLETION %]],COMPL_STATUS,2,1),"")</f>
        <v/>
      </c>
      <c r="M854" s="47"/>
      <c r="N854" s="47"/>
      <c r="O854" s="46"/>
    </row>
    <row r="855" spans="3:15" s="55" customFormat="1" ht="15">
      <c r="C855" s="54"/>
      <c r="D855" s="54"/>
      <c r="E855" s="53"/>
      <c r="F855" s="53"/>
      <c r="G855" s="52">
        <f>ROUND($C$16*Table5[[#This Row],[Hours]],2)</f>
        <v>0</v>
      </c>
      <c r="H855" s="47"/>
      <c r="I855" s="51"/>
      <c r="J855" s="50"/>
      <c r="K855" s="49"/>
      <c r="L855" s="48" t="str">
        <f>IF(AND(LEN(K855)&gt;0,D855="APPROVED"),VLOOKUP(Table5[[#This Row],[COMPLETION %]],COMPL_STATUS,2,1),"")</f>
        <v/>
      </c>
      <c r="M855" s="47"/>
      <c r="N855" s="47"/>
      <c r="O855" s="46"/>
    </row>
    <row r="856" spans="3:15" s="55" customFormat="1" ht="15">
      <c r="C856" s="54"/>
      <c r="D856" s="54"/>
      <c r="E856" s="53"/>
      <c r="F856" s="53"/>
      <c r="G856" s="52">
        <f>ROUND($C$16*Table5[[#This Row],[Hours]],2)</f>
        <v>0</v>
      </c>
      <c r="H856" s="47"/>
      <c r="I856" s="51"/>
      <c r="J856" s="50"/>
      <c r="K856" s="49"/>
      <c r="L856" s="48" t="str">
        <f>IF(AND(LEN(K856)&gt;0,D856="APPROVED"),VLOOKUP(Table5[[#This Row],[COMPLETION %]],COMPL_STATUS,2,1),"")</f>
        <v/>
      </c>
      <c r="M856" s="47"/>
      <c r="N856" s="47"/>
      <c r="O856" s="46"/>
    </row>
    <row r="857" spans="3:15" s="55" customFormat="1" ht="15">
      <c r="C857" s="54"/>
      <c r="D857" s="54"/>
      <c r="E857" s="53"/>
      <c r="F857" s="53"/>
      <c r="G857" s="52">
        <f>ROUND($C$16*Table5[[#This Row],[Hours]],2)</f>
        <v>0</v>
      </c>
      <c r="H857" s="47"/>
      <c r="I857" s="51"/>
      <c r="J857" s="50"/>
      <c r="K857" s="49"/>
      <c r="L857" s="48" t="str">
        <f>IF(AND(LEN(K857)&gt;0,D857="APPROVED"),VLOOKUP(Table5[[#This Row],[COMPLETION %]],COMPL_STATUS,2,1),"")</f>
        <v/>
      </c>
      <c r="M857" s="47"/>
      <c r="N857" s="47"/>
      <c r="O857" s="46"/>
    </row>
    <row r="858" spans="3:15" s="55" customFormat="1" ht="15">
      <c r="C858" s="54"/>
      <c r="D858" s="54"/>
      <c r="E858" s="53"/>
      <c r="F858" s="53"/>
      <c r="G858" s="52">
        <f>ROUND($C$16*Table5[[#This Row],[Hours]],2)</f>
        <v>0</v>
      </c>
      <c r="H858" s="47"/>
      <c r="I858" s="51"/>
      <c r="J858" s="50"/>
      <c r="K858" s="49"/>
      <c r="L858" s="48" t="str">
        <f>IF(AND(LEN(K858)&gt;0,D858="APPROVED"),VLOOKUP(Table5[[#This Row],[COMPLETION %]],COMPL_STATUS,2,1),"")</f>
        <v/>
      </c>
      <c r="M858" s="47"/>
      <c r="N858" s="47"/>
      <c r="O858" s="46"/>
    </row>
    <row r="859" spans="3:15" s="55" customFormat="1" ht="15">
      <c r="C859" s="54"/>
      <c r="D859" s="54"/>
      <c r="E859" s="53"/>
      <c r="F859" s="53"/>
      <c r="G859" s="52">
        <f>ROUND($C$16*Table5[[#This Row],[Hours]],2)</f>
        <v>0</v>
      </c>
      <c r="H859" s="47"/>
      <c r="I859" s="51"/>
      <c r="J859" s="50"/>
      <c r="K859" s="49"/>
      <c r="L859" s="48" t="str">
        <f>IF(AND(LEN(K859)&gt;0,D859="APPROVED"),VLOOKUP(Table5[[#This Row],[COMPLETION %]],COMPL_STATUS,2,1),"")</f>
        <v/>
      </c>
      <c r="M859" s="47"/>
      <c r="N859" s="47"/>
      <c r="O859" s="46"/>
    </row>
    <row r="860" spans="3:15" s="55" customFormat="1" ht="15">
      <c r="C860" s="54"/>
      <c r="D860" s="54"/>
      <c r="E860" s="53"/>
      <c r="F860" s="53"/>
      <c r="G860" s="52">
        <f>ROUND($C$16*Table5[[#This Row],[Hours]],2)</f>
        <v>0</v>
      </c>
      <c r="H860" s="47"/>
      <c r="I860" s="51"/>
      <c r="J860" s="50"/>
      <c r="K860" s="49"/>
      <c r="L860" s="48" t="str">
        <f>IF(AND(LEN(K860)&gt;0,D860="APPROVED"),VLOOKUP(Table5[[#This Row],[COMPLETION %]],COMPL_STATUS,2,1),"")</f>
        <v/>
      </c>
      <c r="M860" s="47"/>
      <c r="N860" s="47"/>
      <c r="O860" s="46"/>
    </row>
    <row r="861" spans="3:15" s="55" customFormat="1" ht="15">
      <c r="C861" s="54"/>
      <c r="D861" s="54"/>
      <c r="E861" s="53"/>
      <c r="F861" s="53"/>
      <c r="G861" s="52">
        <f>ROUND($C$16*Table5[[#This Row],[Hours]],2)</f>
        <v>0</v>
      </c>
      <c r="H861" s="47"/>
      <c r="I861" s="51"/>
      <c r="J861" s="50"/>
      <c r="K861" s="49"/>
      <c r="L861" s="48" t="str">
        <f>IF(AND(LEN(K861)&gt;0,D861="APPROVED"),VLOOKUP(Table5[[#This Row],[COMPLETION %]],COMPL_STATUS,2,1),"")</f>
        <v/>
      </c>
      <c r="M861" s="47"/>
      <c r="N861" s="47"/>
      <c r="O861" s="46"/>
    </row>
    <row r="862" spans="3:15" s="55" customFormat="1" ht="15">
      <c r="C862" s="54"/>
      <c r="D862" s="54"/>
      <c r="E862" s="53"/>
      <c r="F862" s="53"/>
      <c r="G862" s="52">
        <f>ROUND($C$16*Table5[[#This Row],[Hours]],2)</f>
        <v>0</v>
      </c>
      <c r="H862" s="47"/>
      <c r="I862" s="51"/>
      <c r="J862" s="50"/>
      <c r="K862" s="49"/>
      <c r="L862" s="48" t="str">
        <f>IF(AND(LEN(K862)&gt;0,D862="APPROVED"),VLOOKUP(Table5[[#This Row],[COMPLETION %]],COMPL_STATUS,2,1),"")</f>
        <v/>
      </c>
      <c r="M862" s="47"/>
      <c r="N862" s="47"/>
      <c r="O862" s="46"/>
    </row>
    <row r="863" spans="3:15" s="55" customFormat="1" ht="15">
      <c r="C863" s="54"/>
      <c r="D863" s="54"/>
      <c r="E863" s="53"/>
      <c r="F863" s="53"/>
      <c r="G863" s="52">
        <f>ROUND($C$16*Table5[[#This Row],[Hours]],2)</f>
        <v>0</v>
      </c>
      <c r="H863" s="47"/>
      <c r="I863" s="51"/>
      <c r="J863" s="50"/>
      <c r="K863" s="49"/>
      <c r="L863" s="48" t="str">
        <f>IF(AND(LEN(K863)&gt;0,D863="APPROVED"),VLOOKUP(Table5[[#This Row],[COMPLETION %]],COMPL_STATUS,2,1),"")</f>
        <v/>
      </c>
      <c r="M863" s="47"/>
      <c r="N863" s="47"/>
      <c r="O863" s="46"/>
    </row>
    <row r="864" spans="3:15" s="55" customFormat="1" ht="15">
      <c r="C864" s="54"/>
      <c r="D864" s="54"/>
      <c r="E864" s="53"/>
      <c r="F864" s="53"/>
      <c r="G864" s="52">
        <f>ROUND($C$16*Table5[[#This Row],[Hours]],2)</f>
        <v>0</v>
      </c>
      <c r="H864" s="47"/>
      <c r="I864" s="51"/>
      <c r="J864" s="50"/>
      <c r="K864" s="49"/>
      <c r="L864" s="48" t="str">
        <f>IF(AND(LEN(K864)&gt;0,D864="APPROVED"),VLOOKUP(Table5[[#This Row],[COMPLETION %]],COMPL_STATUS,2,1),"")</f>
        <v/>
      </c>
      <c r="M864" s="47"/>
      <c r="N864" s="47"/>
      <c r="O864" s="46"/>
    </row>
    <row r="865" spans="3:15" s="55" customFormat="1" ht="15">
      <c r="C865" s="54"/>
      <c r="D865" s="54"/>
      <c r="E865" s="53"/>
      <c r="F865" s="53"/>
      <c r="G865" s="52">
        <f>ROUND($C$16*Table5[[#This Row],[Hours]],2)</f>
        <v>0</v>
      </c>
      <c r="H865" s="47"/>
      <c r="I865" s="51"/>
      <c r="J865" s="50"/>
      <c r="K865" s="49"/>
      <c r="L865" s="48" t="str">
        <f>IF(AND(LEN(K865)&gt;0,D865="APPROVED"),VLOOKUP(Table5[[#This Row],[COMPLETION %]],COMPL_STATUS,2,1),"")</f>
        <v/>
      </c>
      <c r="M865" s="47"/>
      <c r="N865" s="47"/>
      <c r="O865" s="46"/>
    </row>
    <row r="866" spans="3:15" s="55" customFormat="1" ht="15">
      <c r="C866" s="54"/>
      <c r="D866" s="54"/>
      <c r="E866" s="53"/>
      <c r="F866" s="53"/>
      <c r="G866" s="52">
        <f>ROUND($C$16*Table5[[#This Row],[Hours]],2)</f>
        <v>0</v>
      </c>
      <c r="H866" s="47"/>
      <c r="I866" s="51"/>
      <c r="J866" s="50"/>
      <c r="K866" s="49"/>
      <c r="L866" s="48" t="str">
        <f>IF(AND(LEN(K866)&gt;0,D866="APPROVED"),VLOOKUP(Table5[[#This Row],[COMPLETION %]],COMPL_STATUS,2,1),"")</f>
        <v/>
      </c>
      <c r="M866" s="47"/>
      <c r="N866" s="47"/>
      <c r="O866" s="46"/>
    </row>
    <row r="867" spans="3:15" s="55" customFormat="1" ht="15">
      <c r="C867" s="54"/>
      <c r="D867" s="54"/>
      <c r="E867" s="53"/>
      <c r="F867" s="53"/>
      <c r="G867" s="52">
        <f>ROUND($C$16*Table5[[#This Row],[Hours]],2)</f>
        <v>0</v>
      </c>
      <c r="H867" s="47"/>
      <c r="I867" s="51"/>
      <c r="J867" s="50"/>
      <c r="K867" s="49"/>
      <c r="L867" s="48" t="str">
        <f>IF(AND(LEN(K867)&gt;0,D867="APPROVED"),VLOOKUP(Table5[[#This Row],[COMPLETION %]],COMPL_STATUS,2,1),"")</f>
        <v/>
      </c>
      <c r="M867" s="47"/>
      <c r="N867" s="47"/>
      <c r="O867" s="46"/>
    </row>
    <row r="868" spans="3:15" s="55" customFormat="1" ht="15">
      <c r="C868" s="54"/>
      <c r="D868" s="54"/>
      <c r="E868" s="53"/>
      <c r="F868" s="53"/>
      <c r="G868" s="52">
        <f>ROUND($C$16*Table5[[#This Row],[Hours]],2)</f>
        <v>0</v>
      </c>
      <c r="H868" s="47"/>
      <c r="I868" s="51"/>
      <c r="J868" s="50"/>
      <c r="K868" s="49"/>
      <c r="L868" s="48" t="str">
        <f>IF(AND(LEN(K868)&gt;0,D868="APPROVED"),VLOOKUP(Table5[[#This Row],[COMPLETION %]],COMPL_STATUS,2,1),"")</f>
        <v/>
      </c>
      <c r="M868" s="47"/>
      <c r="N868" s="47"/>
      <c r="O868" s="46"/>
    </row>
    <row r="869" spans="3:15" s="55" customFormat="1" ht="15">
      <c r="C869" s="54"/>
      <c r="D869" s="54"/>
      <c r="E869" s="53"/>
      <c r="F869" s="53"/>
      <c r="G869" s="52">
        <f>ROUND($C$16*Table5[[#This Row],[Hours]],2)</f>
        <v>0</v>
      </c>
      <c r="H869" s="47"/>
      <c r="I869" s="51"/>
      <c r="J869" s="50"/>
      <c r="K869" s="49"/>
      <c r="L869" s="48" t="str">
        <f>IF(AND(LEN(K869)&gt;0,D869="APPROVED"),VLOOKUP(Table5[[#This Row],[COMPLETION %]],COMPL_STATUS,2,1),"")</f>
        <v/>
      </c>
      <c r="M869" s="47"/>
      <c r="N869" s="47"/>
      <c r="O869" s="46"/>
    </row>
    <row r="870" spans="3:15" s="55" customFormat="1" ht="15">
      <c r="C870" s="54"/>
      <c r="D870" s="54"/>
      <c r="E870" s="53"/>
      <c r="F870" s="53"/>
      <c r="G870" s="52">
        <f>ROUND($C$16*Table5[[#This Row],[Hours]],2)</f>
        <v>0</v>
      </c>
      <c r="H870" s="47"/>
      <c r="I870" s="51"/>
      <c r="J870" s="50"/>
      <c r="K870" s="49"/>
      <c r="L870" s="48" t="str">
        <f>IF(AND(LEN(K870)&gt;0,D870="APPROVED"),VLOOKUP(Table5[[#This Row],[COMPLETION %]],COMPL_STATUS,2,1),"")</f>
        <v/>
      </c>
      <c r="M870" s="47"/>
      <c r="N870" s="47"/>
      <c r="O870" s="46"/>
    </row>
    <row r="871" spans="3:15" s="55" customFormat="1" ht="15">
      <c r="C871" s="54"/>
      <c r="D871" s="54"/>
      <c r="E871" s="53"/>
      <c r="F871" s="53"/>
      <c r="G871" s="52">
        <f>ROUND($C$16*Table5[[#This Row],[Hours]],2)</f>
        <v>0</v>
      </c>
      <c r="H871" s="47"/>
      <c r="I871" s="51"/>
      <c r="J871" s="50"/>
      <c r="K871" s="49"/>
      <c r="L871" s="48" t="str">
        <f>IF(AND(LEN(K871)&gt;0,D871="APPROVED"),VLOOKUP(Table5[[#This Row],[COMPLETION %]],COMPL_STATUS,2,1),"")</f>
        <v/>
      </c>
      <c r="M871" s="47"/>
      <c r="N871" s="47"/>
      <c r="O871" s="46"/>
    </row>
    <row r="872" spans="3:15" s="55" customFormat="1" ht="15">
      <c r="C872" s="54"/>
      <c r="D872" s="54"/>
      <c r="E872" s="53"/>
      <c r="F872" s="53"/>
      <c r="G872" s="52">
        <f>ROUND($C$16*Table5[[#This Row],[Hours]],2)</f>
        <v>0</v>
      </c>
      <c r="H872" s="47"/>
      <c r="I872" s="51"/>
      <c r="J872" s="50"/>
      <c r="K872" s="49"/>
      <c r="L872" s="48" t="str">
        <f>IF(AND(LEN(K872)&gt;0,D872="APPROVED"),VLOOKUP(Table5[[#This Row],[COMPLETION %]],COMPL_STATUS,2,1),"")</f>
        <v/>
      </c>
      <c r="M872" s="47"/>
      <c r="N872" s="47"/>
      <c r="O872" s="46"/>
    </row>
    <row r="873" spans="3:15" s="55" customFormat="1" ht="15">
      <c r="C873" s="54"/>
      <c r="D873" s="54"/>
      <c r="E873" s="53"/>
      <c r="F873" s="53"/>
      <c r="G873" s="52">
        <f>ROUND($C$16*Table5[[#This Row],[Hours]],2)</f>
        <v>0</v>
      </c>
      <c r="H873" s="47"/>
      <c r="I873" s="51"/>
      <c r="J873" s="50"/>
      <c r="K873" s="49"/>
      <c r="L873" s="48" t="str">
        <f>IF(AND(LEN(K873)&gt;0,D873="APPROVED"),VLOOKUP(Table5[[#This Row],[COMPLETION %]],COMPL_STATUS,2,1),"")</f>
        <v/>
      </c>
      <c r="M873" s="47"/>
      <c r="N873" s="47"/>
      <c r="O873" s="46"/>
    </row>
    <row r="874" spans="3:15" s="55" customFormat="1" ht="15">
      <c r="C874" s="54"/>
      <c r="D874" s="54"/>
      <c r="E874" s="53"/>
      <c r="F874" s="53"/>
      <c r="G874" s="52">
        <f>ROUND($C$16*Table5[[#This Row],[Hours]],2)</f>
        <v>0</v>
      </c>
      <c r="H874" s="47"/>
      <c r="I874" s="51"/>
      <c r="J874" s="50"/>
      <c r="K874" s="49"/>
      <c r="L874" s="48" t="str">
        <f>IF(AND(LEN(K874)&gt;0,D874="APPROVED"),VLOOKUP(Table5[[#This Row],[COMPLETION %]],COMPL_STATUS,2,1),"")</f>
        <v/>
      </c>
      <c r="M874" s="47"/>
      <c r="N874" s="47"/>
      <c r="O874" s="46"/>
    </row>
    <row r="875" spans="3:15" s="55" customFormat="1" ht="15">
      <c r="C875" s="54"/>
      <c r="D875" s="54"/>
      <c r="E875" s="53"/>
      <c r="F875" s="53"/>
      <c r="G875" s="52">
        <f>ROUND($C$16*Table5[[#This Row],[Hours]],2)</f>
        <v>0</v>
      </c>
      <c r="H875" s="47"/>
      <c r="I875" s="51"/>
      <c r="J875" s="50"/>
      <c r="K875" s="49"/>
      <c r="L875" s="48" t="str">
        <f>IF(AND(LEN(K875)&gt;0,D875="APPROVED"),VLOOKUP(Table5[[#This Row],[COMPLETION %]],COMPL_STATUS,2,1),"")</f>
        <v/>
      </c>
      <c r="M875" s="47"/>
      <c r="N875" s="47"/>
      <c r="O875" s="46"/>
    </row>
    <row r="876" spans="3:15" s="55" customFormat="1" ht="15">
      <c r="C876" s="54"/>
      <c r="D876" s="54"/>
      <c r="E876" s="53"/>
      <c r="F876" s="53"/>
      <c r="G876" s="52">
        <f>ROUND($C$16*Table5[[#This Row],[Hours]],2)</f>
        <v>0</v>
      </c>
      <c r="H876" s="47"/>
      <c r="I876" s="51"/>
      <c r="J876" s="50"/>
      <c r="K876" s="49"/>
      <c r="L876" s="48" t="str">
        <f>IF(AND(LEN(K876)&gt;0,D876="APPROVED"),VLOOKUP(Table5[[#This Row],[COMPLETION %]],COMPL_STATUS,2,1),"")</f>
        <v/>
      </c>
      <c r="M876" s="47"/>
      <c r="N876" s="47"/>
      <c r="O876" s="46"/>
    </row>
    <row r="877" spans="3:15" s="55" customFormat="1" ht="15">
      <c r="C877" s="54"/>
      <c r="D877" s="54"/>
      <c r="E877" s="53"/>
      <c r="F877" s="53"/>
      <c r="G877" s="52">
        <f>ROUND($C$16*Table5[[#This Row],[Hours]],2)</f>
        <v>0</v>
      </c>
      <c r="H877" s="47"/>
      <c r="I877" s="51"/>
      <c r="J877" s="50"/>
      <c r="K877" s="49"/>
      <c r="L877" s="48" t="str">
        <f>IF(AND(LEN(K877)&gt;0,D877="APPROVED"),VLOOKUP(Table5[[#This Row],[COMPLETION %]],COMPL_STATUS,2,1),"")</f>
        <v/>
      </c>
      <c r="M877" s="47"/>
      <c r="N877" s="47"/>
      <c r="O877" s="46"/>
    </row>
    <row r="878" spans="3:15" s="55" customFormat="1" ht="15">
      <c r="C878" s="54"/>
      <c r="D878" s="54"/>
      <c r="E878" s="53"/>
      <c r="F878" s="53"/>
      <c r="G878" s="52">
        <f>ROUND($C$16*Table5[[#This Row],[Hours]],2)</f>
        <v>0</v>
      </c>
      <c r="H878" s="47"/>
      <c r="I878" s="51"/>
      <c r="J878" s="50"/>
      <c r="K878" s="49"/>
      <c r="L878" s="48" t="str">
        <f>IF(AND(LEN(K878)&gt;0,D878="APPROVED"),VLOOKUP(Table5[[#This Row],[COMPLETION %]],COMPL_STATUS,2,1),"")</f>
        <v/>
      </c>
      <c r="M878" s="47"/>
      <c r="N878" s="47"/>
      <c r="O878" s="46"/>
    </row>
    <row r="879" spans="3:15" s="55" customFormat="1" ht="15">
      <c r="C879" s="54"/>
      <c r="D879" s="54"/>
      <c r="E879" s="53"/>
      <c r="F879" s="53"/>
      <c r="G879" s="52">
        <f>ROUND($C$16*Table5[[#This Row],[Hours]],2)</f>
        <v>0</v>
      </c>
      <c r="H879" s="47"/>
      <c r="I879" s="51"/>
      <c r="J879" s="50"/>
      <c r="K879" s="49"/>
      <c r="L879" s="48" t="str">
        <f>IF(AND(LEN(K879)&gt;0,D879="APPROVED"),VLOOKUP(Table5[[#This Row],[COMPLETION %]],COMPL_STATUS,2,1),"")</f>
        <v/>
      </c>
      <c r="M879" s="47"/>
      <c r="N879" s="47"/>
      <c r="O879" s="46"/>
    </row>
    <row r="880" spans="3:15" s="55" customFormat="1" ht="15">
      <c r="C880" s="54"/>
      <c r="D880" s="54"/>
      <c r="E880" s="53"/>
      <c r="F880" s="53"/>
      <c r="G880" s="52">
        <f>ROUND($C$16*Table5[[#This Row],[Hours]],2)</f>
        <v>0</v>
      </c>
      <c r="H880" s="47"/>
      <c r="I880" s="51"/>
      <c r="J880" s="50"/>
      <c r="K880" s="49"/>
      <c r="L880" s="48" t="str">
        <f>IF(AND(LEN(K880)&gt;0,D880="APPROVED"),VLOOKUP(Table5[[#This Row],[COMPLETION %]],COMPL_STATUS,2,1),"")</f>
        <v/>
      </c>
      <c r="M880" s="47"/>
      <c r="N880" s="47"/>
      <c r="O880" s="46"/>
    </row>
    <row r="881" spans="3:15" s="55" customFormat="1" ht="15">
      <c r="C881" s="54"/>
      <c r="D881" s="54"/>
      <c r="E881" s="53"/>
      <c r="F881" s="53"/>
      <c r="G881" s="52">
        <f>ROUND($C$16*Table5[[#This Row],[Hours]],2)</f>
        <v>0</v>
      </c>
      <c r="H881" s="47"/>
      <c r="I881" s="51"/>
      <c r="J881" s="50"/>
      <c r="K881" s="49"/>
      <c r="L881" s="48" t="str">
        <f>IF(AND(LEN(K881)&gt;0,D881="APPROVED"),VLOOKUP(Table5[[#This Row],[COMPLETION %]],COMPL_STATUS,2,1),"")</f>
        <v/>
      </c>
      <c r="M881" s="47"/>
      <c r="N881" s="47"/>
      <c r="O881" s="46"/>
    </row>
    <row r="882" spans="3:15" s="55" customFormat="1" ht="15">
      <c r="C882" s="54"/>
      <c r="D882" s="54"/>
      <c r="E882" s="53"/>
      <c r="F882" s="53"/>
      <c r="G882" s="52">
        <f>ROUND($C$16*Table5[[#This Row],[Hours]],2)</f>
        <v>0</v>
      </c>
      <c r="H882" s="47"/>
      <c r="I882" s="51"/>
      <c r="J882" s="50"/>
      <c r="K882" s="49"/>
      <c r="L882" s="48" t="str">
        <f>IF(AND(LEN(K882)&gt;0,D882="APPROVED"),VLOOKUP(Table5[[#This Row],[COMPLETION %]],COMPL_STATUS,2,1),"")</f>
        <v/>
      </c>
      <c r="M882" s="47"/>
      <c r="N882" s="47"/>
      <c r="O882" s="46"/>
    </row>
    <row r="883" spans="3:15" s="55" customFormat="1" ht="15">
      <c r="C883" s="54"/>
      <c r="D883" s="54"/>
      <c r="E883" s="53"/>
      <c r="F883" s="53"/>
      <c r="G883" s="52">
        <f>ROUND($C$16*Table5[[#This Row],[Hours]],2)</f>
        <v>0</v>
      </c>
      <c r="H883" s="47"/>
      <c r="I883" s="51"/>
      <c r="J883" s="50"/>
      <c r="K883" s="49"/>
      <c r="L883" s="48" t="str">
        <f>IF(AND(LEN(K883)&gt;0,D883="APPROVED"),VLOOKUP(Table5[[#This Row],[COMPLETION %]],COMPL_STATUS,2,1),"")</f>
        <v/>
      </c>
      <c r="M883" s="47"/>
      <c r="N883" s="47"/>
      <c r="O883" s="46"/>
    </row>
    <row r="884" spans="3:15" s="55" customFormat="1" ht="15">
      <c r="C884" s="54"/>
      <c r="D884" s="54"/>
      <c r="E884" s="53"/>
      <c r="F884" s="53"/>
      <c r="G884" s="52">
        <f>ROUND($C$16*Table5[[#This Row],[Hours]],2)</f>
        <v>0</v>
      </c>
      <c r="H884" s="47"/>
      <c r="I884" s="51"/>
      <c r="J884" s="50"/>
      <c r="K884" s="49"/>
      <c r="L884" s="48" t="str">
        <f>IF(AND(LEN(K884)&gt;0,D884="APPROVED"),VLOOKUP(Table5[[#This Row],[COMPLETION %]],COMPL_STATUS,2,1),"")</f>
        <v/>
      </c>
      <c r="M884" s="47"/>
      <c r="N884" s="47"/>
      <c r="O884" s="46"/>
    </row>
    <row r="885" spans="3:15" s="55" customFormat="1" ht="15">
      <c r="C885" s="54"/>
      <c r="D885" s="54"/>
      <c r="E885" s="53"/>
      <c r="F885" s="53"/>
      <c r="G885" s="52">
        <f>ROUND($C$16*Table5[[#This Row],[Hours]],2)</f>
        <v>0</v>
      </c>
      <c r="H885" s="47"/>
      <c r="I885" s="51"/>
      <c r="J885" s="50"/>
      <c r="K885" s="49"/>
      <c r="L885" s="48" t="str">
        <f>IF(AND(LEN(K885)&gt;0,D885="APPROVED"),VLOOKUP(Table5[[#This Row],[COMPLETION %]],COMPL_STATUS,2,1),"")</f>
        <v/>
      </c>
      <c r="M885" s="47"/>
      <c r="N885" s="47"/>
      <c r="O885" s="46"/>
    </row>
    <row r="886" spans="3:15" s="55" customFormat="1" ht="15">
      <c r="C886" s="54"/>
      <c r="D886" s="54"/>
      <c r="E886" s="53"/>
      <c r="F886" s="53"/>
      <c r="G886" s="52">
        <f>ROUND($C$16*Table5[[#This Row],[Hours]],2)</f>
        <v>0</v>
      </c>
      <c r="H886" s="47"/>
      <c r="I886" s="51"/>
      <c r="J886" s="50"/>
      <c r="K886" s="49"/>
      <c r="L886" s="48" t="str">
        <f>IF(AND(LEN(K886)&gt;0,D886="APPROVED"),VLOOKUP(Table5[[#This Row],[COMPLETION %]],COMPL_STATUS,2,1),"")</f>
        <v/>
      </c>
      <c r="M886" s="47"/>
      <c r="N886" s="47"/>
      <c r="O886" s="46"/>
    </row>
    <row r="887" spans="3:15" s="55" customFormat="1" ht="15">
      <c r="C887" s="54"/>
      <c r="D887" s="54"/>
      <c r="E887" s="53"/>
      <c r="F887" s="53"/>
      <c r="G887" s="52">
        <f>ROUND($C$16*Table5[[#This Row],[Hours]],2)</f>
        <v>0</v>
      </c>
      <c r="H887" s="47"/>
      <c r="I887" s="51"/>
      <c r="J887" s="50"/>
      <c r="K887" s="49"/>
      <c r="L887" s="48" t="str">
        <f>IF(AND(LEN(K887)&gt;0,D887="APPROVED"),VLOOKUP(Table5[[#This Row],[COMPLETION %]],COMPL_STATUS,2,1),"")</f>
        <v/>
      </c>
      <c r="M887" s="47"/>
      <c r="N887" s="47"/>
      <c r="O887" s="46"/>
    </row>
    <row r="888" spans="3:15" s="55" customFormat="1" ht="15">
      <c r="C888" s="54"/>
      <c r="D888" s="54"/>
      <c r="E888" s="53"/>
      <c r="F888" s="53"/>
      <c r="G888" s="52">
        <f>ROUND($C$16*Table5[[#This Row],[Hours]],2)</f>
        <v>0</v>
      </c>
      <c r="H888" s="47"/>
      <c r="I888" s="51"/>
      <c r="J888" s="50"/>
      <c r="K888" s="49"/>
      <c r="L888" s="48" t="str">
        <f>IF(AND(LEN(K888)&gt;0,D888="APPROVED"),VLOOKUP(Table5[[#This Row],[COMPLETION %]],COMPL_STATUS,2,1),"")</f>
        <v/>
      </c>
      <c r="M888" s="47"/>
      <c r="N888" s="47"/>
      <c r="O888" s="46"/>
    </row>
    <row r="889" spans="3:15" s="55" customFormat="1" ht="15">
      <c r="C889" s="54"/>
      <c r="D889" s="54"/>
      <c r="E889" s="53"/>
      <c r="F889" s="53"/>
      <c r="G889" s="52">
        <f>ROUND($C$16*Table5[[#This Row],[Hours]],2)</f>
        <v>0</v>
      </c>
      <c r="H889" s="47"/>
      <c r="I889" s="51"/>
      <c r="J889" s="50"/>
      <c r="K889" s="49"/>
      <c r="L889" s="48" t="str">
        <f>IF(AND(LEN(K889)&gt;0,D889="APPROVED"),VLOOKUP(Table5[[#This Row],[COMPLETION %]],COMPL_STATUS,2,1),"")</f>
        <v/>
      </c>
      <c r="M889" s="47"/>
      <c r="N889" s="47"/>
      <c r="O889" s="46"/>
    </row>
    <row r="890" spans="3:15" s="55" customFormat="1" ht="15">
      <c r="C890" s="54"/>
      <c r="D890" s="54"/>
      <c r="E890" s="53"/>
      <c r="F890" s="53"/>
      <c r="G890" s="52">
        <f>ROUND($C$16*Table5[[#This Row],[Hours]],2)</f>
        <v>0</v>
      </c>
      <c r="H890" s="47"/>
      <c r="I890" s="51"/>
      <c r="J890" s="50"/>
      <c r="K890" s="49"/>
      <c r="L890" s="48" t="str">
        <f>IF(AND(LEN(K890)&gt;0,D890="APPROVED"),VLOOKUP(Table5[[#This Row],[COMPLETION %]],COMPL_STATUS,2,1),"")</f>
        <v/>
      </c>
      <c r="M890" s="47"/>
      <c r="N890" s="47"/>
      <c r="O890" s="46"/>
    </row>
    <row r="891" spans="3:15" s="55" customFormat="1" ht="15">
      <c r="C891" s="54"/>
      <c r="D891" s="54"/>
      <c r="E891" s="53"/>
      <c r="F891" s="53"/>
      <c r="G891" s="52">
        <f>ROUND($C$16*Table5[[#This Row],[Hours]],2)</f>
        <v>0</v>
      </c>
      <c r="H891" s="47"/>
      <c r="I891" s="51"/>
      <c r="J891" s="50"/>
      <c r="K891" s="49"/>
      <c r="L891" s="48" t="str">
        <f>IF(AND(LEN(K891)&gt;0,D891="APPROVED"),VLOOKUP(Table5[[#This Row],[COMPLETION %]],COMPL_STATUS,2,1),"")</f>
        <v/>
      </c>
      <c r="M891" s="47"/>
      <c r="N891" s="47"/>
      <c r="O891" s="46"/>
    </row>
    <row r="892" spans="3:15" s="55" customFormat="1" ht="15">
      <c r="C892" s="54"/>
      <c r="D892" s="54"/>
      <c r="E892" s="53"/>
      <c r="F892" s="53"/>
      <c r="G892" s="52">
        <f>ROUND($C$16*Table5[[#This Row],[Hours]],2)</f>
        <v>0</v>
      </c>
      <c r="H892" s="47"/>
      <c r="I892" s="51"/>
      <c r="J892" s="50"/>
      <c r="K892" s="49"/>
      <c r="L892" s="48" t="str">
        <f>IF(AND(LEN(K892)&gt;0,D892="APPROVED"),VLOOKUP(Table5[[#This Row],[COMPLETION %]],COMPL_STATUS,2,1),"")</f>
        <v/>
      </c>
      <c r="M892" s="47"/>
      <c r="N892" s="47"/>
      <c r="O892" s="46"/>
    </row>
    <row r="893" spans="3:15" s="55" customFormat="1" ht="15">
      <c r="C893" s="54"/>
      <c r="D893" s="54"/>
      <c r="E893" s="53"/>
      <c r="F893" s="53"/>
      <c r="G893" s="52">
        <f>ROUND($C$16*Table5[[#This Row],[Hours]],2)</f>
        <v>0</v>
      </c>
      <c r="H893" s="47"/>
      <c r="I893" s="51"/>
      <c r="J893" s="50"/>
      <c r="K893" s="49"/>
      <c r="L893" s="48" t="str">
        <f>IF(AND(LEN(K893)&gt;0,D893="APPROVED"),VLOOKUP(Table5[[#This Row],[COMPLETION %]],COMPL_STATUS,2,1),"")</f>
        <v/>
      </c>
      <c r="M893" s="47"/>
      <c r="N893" s="47"/>
      <c r="O893" s="46"/>
    </row>
    <row r="894" spans="3:15" s="55" customFormat="1" ht="15">
      <c r="C894" s="54"/>
      <c r="D894" s="54"/>
      <c r="E894" s="53"/>
      <c r="F894" s="53"/>
      <c r="G894" s="52">
        <f>ROUND($C$16*Table5[[#This Row],[Hours]],2)</f>
        <v>0</v>
      </c>
      <c r="H894" s="47"/>
      <c r="I894" s="51"/>
      <c r="J894" s="50"/>
      <c r="K894" s="49"/>
      <c r="L894" s="48" t="str">
        <f>IF(AND(LEN(K894)&gt;0,D894="APPROVED"),VLOOKUP(Table5[[#This Row],[COMPLETION %]],COMPL_STATUS,2,1),"")</f>
        <v/>
      </c>
      <c r="M894" s="47"/>
      <c r="N894" s="47"/>
      <c r="O894" s="46"/>
    </row>
    <row r="895" spans="3:15" s="55" customFormat="1" ht="15">
      <c r="C895" s="54"/>
      <c r="D895" s="54"/>
      <c r="E895" s="53"/>
      <c r="F895" s="53"/>
      <c r="G895" s="52">
        <f>ROUND($C$16*Table5[[#This Row],[Hours]],2)</f>
        <v>0</v>
      </c>
      <c r="H895" s="47"/>
      <c r="I895" s="51"/>
      <c r="J895" s="50"/>
      <c r="K895" s="49"/>
      <c r="L895" s="48" t="str">
        <f>IF(AND(LEN(K895)&gt;0,D895="APPROVED"),VLOOKUP(Table5[[#This Row],[COMPLETION %]],COMPL_STATUS,2,1),"")</f>
        <v/>
      </c>
      <c r="M895" s="47"/>
      <c r="N895" s="47"/>
      <c r="O895" s="46"/>
    </row>
    <row r="896" spans="3:15" s="55" customFormat="1" ht="15">
      <c r="C896" s="54"/>
      <c r="D896" s="54"/>
      <c r="E896" s="53"/>
      <c r="F896" s="53"/>
      <c r="G896" s="52">
        <f>ROUND($C$16*Table5[[#This Row],[Hours]],2)</f>
        <v>0</v>
      </c>
      <c r="H896" s="47"/>
      <c r="I896" s="51"/>
      <c r="J896" s="50"/>
      <c r="K896" s="49"/>
      <c r="L896" s="48" t="str">
        <f>IF(AND(LEN(K896)&gt;0,D896="APPROVED"),VLOOKUP(Table5[[#This Row],[COMPLETION %]],COMPL_STATUS,2,1),"")</f>
        <v/>
      </c>
      <c r="M896" s="47"/>
      <c r="N896" s="47"/>
      <c r="O896" s="46"/>
    </row>
    <row r="897" spans="3:15" s="55" customFormat="1" ht="15">
      <c r="C897" s="54"/>
      <c r="D897" s="54"/>
      <c r="E897" s="53"/>
      <c r="F897" s="53"/>
      <c r="G897" s="52">
        <f>ROUND($C$16*Table5[[#This Row],[Hours]],2)</f>
        <v>0</v>
      </c>
      <c r="H897" s="47"/>
      <c r="I897" s="51"/>
      <c r="J897" s="50"/>
      <c r="K897" s="49"/>
      <c r="L897" s="48" t="str">
        <f>IF(AND(LEN(K897)&gt;0,D897="APPROVED"),VLOOKUP(Table5[[#This Row],[COMPLETION %]],COMPL_STATUS,2,1),"")</f>
        <v/>
      </c>
      <c r="M897" s="47"/>
      <c r="N897" s="47"/>
      <c r="O897" s="46"/>
    </row>
    <row r="898" spans="3:15" s="55" customFormat="1" ht="15">
      <c r="C898" s="54"/>
      <c r="D898" s="54"/>
      <c r="E898" s="53"/>
      <c r="F898" s="53"/>
      <c r="G898" s="52">
        <f>ROUND($C$16*Table5[[#This Row],[Hours]],2)</f>
        <v>0</v>
      </c>
      <c r="H898" s="47"/>
      <c r="I898" s="51"/>
      <c r="J898" s="50"/>
      <c r="K898" s="49"/>
      <c r="L898" s="48" t="str">
        <f>IF(AND(LEN(K898)&gt;0,D898="APPROVED"),VLOOKUP(Table5[[#This Row],[COMPLETION %]],COMPL_STATUS,2,1),"")</f>
        <v/>
      </c>
      <c r="M898" s="47"/>
      <c r="N898" s="47"/>
      <c r="O898" s="46"/>
    </row>
    <row r="899" spans="3:15" s="55" customFormat="1" ht="15">
      <c r="C899" s="54"/>
      <c r="D899" s="54"/>
      <c r="E899" s="53"/>
      <c r="F899" s="53"/>
      <c r="G899" s="52">
        <f>ROUND($C$16*Table5[[#This Row],[Hours]],2)</f>
        <v>0</v>
      </c>
      <c r="H899" s="47"/>
      <c r="I899" s="51"/>
      <c r="J899" s="50"/>
      <c r="K899" s="49"/>
      <c r="L899" s="48" t="str">
        <f>IF(AND(LEN(K899)&gt;0,D899="APPROVED"),VLOOKUP(Table5[[#This Row],[COMPLETION %]],COMPL_STATUS,2,1),"")</f>
        <v/>
      </c>
      <c r="M899" s="47"/>
      <c r="N899" s="47"/>
      <c r="O899" s="46"/>
    </row>
    <row r="900" spans="3:15" s="55" customFormat="1" ht="15">
      <c r="C900" s="54"/>
      <c r="D900" s="54"/>
      <c r="E900" s="53"/>
      <c r="F900" s="53"/>
      <c r="G900" s="52">
        <f>ROUND($C$16*Table5[[#This Row],[Hours]],2)</f>
        <v>0</v>
      </c>
      <c r="H900" s="47"/>
      <c r="I900" s="51"/>
      <c r="J900" s="50"/>
      <c r="K900" s="49"/>
      <c r="L900" s="48" t="str">
        <f>IF(AND(LEN(K900)&gt;0,D900="APPROVED"),VLOOKUP(Table5[[#This Row],[COMPLETION %]],COMPL_STATUS,2,1),"")</f>
        <v/>
      </c>
      <c r="M900" s="47"/>
      <c r="N900" s="47"/>
      <c r="O900" s="46"/>
    </row>
    <row r="901" spans="3:15" s="55" customFormat="1" ht="15">
      <c r="C901" s="54"/>
      <c r="D901" s="54"/>
      <c r="E901" s="53"/>
      <c r="F901" s="53"/>
      <c r="G901" s="52">
        <f>ROUND($C$16*Table5[[#This Row],[Hours]],2)</f>
        <v>0</v>
      </c>
      <c r="H901" s="47"/>
      <c r="I901" s="51"/>
      <c r="J901" s="50"/>
      <c r="K901" s="49"/>
      <c r="L901" s="48" t="str">
        <f>IF(AND(LEN(K901)&gt;0,D901="APPROVED"),VLOOKUP(Table5[[#This Row],[COMPLETION %]],COMPL_STATUS,2,1),"")</f>
        <v/>
      </c>
      <c r="M901" s="47"/>
      <c r="N901" s="47"/>
      <c r="O901" s="46"/>
    </row>
    <row r="902" spans="3:15" s="55" customFormat="1" ht="15">
      <c r="C902" s="54"/>
      <c r="D902" s="54"/>
      <c r="E902" s="53"/>
      <c r="F902" s="53"/>
      <c r="G902" s="52">
        <f>ROUND($C$16*Table5[[#This Row],[Hours]],2)</f>
        <v>0</v>
      </c>
      <c r="H902" s="47"/>
      <c r="I902" s="51"/>
      <c r="J902" s="50"/>
      <c r="K902" s="49"/>
      <c r="L902" s="48" t="str">
        <f>IF(AND(LEN(K902)&gt;0,D902="APPROVED"),VLOOKUP(Table5[[#This Row],[COMPLETION %]],COMPL_STATUS,2,1),"")</f>
        <v/>
      </c>
      <c r="M902" s="47"/>
      <c r="N902" s="47"/>
      <c r="O902" s="46"/>
    </row>
    <row r="903" spans="3:15" s="55" customFormat="1" ht="15">
      <c r="C903" s="54"/>
      <c r="D903" s="54"/>
      <c r="E903" s="53"/>
      <c r="F903" s="53"/>
      <c r="G903" s="52">
        <f>ROUND($C$16*Table5[[#This Row],[Hours]],2)</f>
        <v>0</v>
      </c>
      <c r="H903" s="47"/>
      <c r="I903" s="51"/>
      <c r="J903" s="50"/>
      <c r="K903" s="49"/>
      <c r="L903" s="48" t="str">
        <f>IF(AND(LEN(K903)&gt;0,D903="APPROVED"),VLOOKUP(Table5[[#This Row],[COMPLETION %]],COMPL_STATUS,2,1),"")</f>
        <v/>
      </c>
      <c r="M903" s="47"/>
      <c r="N903" s="47"/>
      <c r="O903" s="46"/>
    </row>
    <row r="904" spans="3:15" s="55" customFormat="1" ht="15">
      <c r="C904" s="54"/>
      <c r="D904" s="54"/>
      <c r="E904" s="53"/>
      <c r="F904" s="53"/>
      <c r="G904" s="52">
        <f>ROUND($C$16*Table5[[#This Row],[Hours]],2)</f>
        <v>0</v>
      </c>
      <c r="H904" s="47"/>
      <c r="I904" s="51"/>
      <c r="J904" s="50"/>
      <c r="K904" s="49"/>
      <c r="L904" s="48" t="str">
        <f>IF(AND(LEN(K904)&gt;0,D904="APPROVED"),VLOOKUP(Table5[[#This Row],[COMPLETION %]],COMPL_STATUS,2,1),"")</f>
        <v/>
      </c>
      <c r="M904" s="47"/>
      <c r="N904" s="47"/>
      <c r="O904" s="46"/>
    </row>
    <row r="905" spans="3:15" s="55" customFormat="1" ht="15">
      <c r="C905" s="54"/>
      <c r="D905" s="54"/>
      <c r="E905" s="53"/>
      <c r="F905" s="53"/>
      <c r="G905" s="52">
        <f>ROUND($C$16*Table5[[#This Row],[Hours]],2)</f>
        <v>0</v>
      </c>
      <c r="H905" s="47"/>
      <c r="I905" s="51"/>
      <c r="J905" s="50"/>
      <c r="K905" s="49"/>
      <c r="L905" s="48" t="str">
        <f>IF(AND(LEN(K905)&gt;0,D905="APPROVED"),VLOOKUP(Table5[[#This Row],[COMPLETION %]],COMPL_STATUS,2,1),"")</f>
        <v/>
      </c>
      <c r="M905" s="47"/>
      <c r="N905" s="47"/>
      <c r="O905" s="46"/>
    </row>
    <row r="906" spans="3:15" s="55" customFormat="1" ht="15">
      <c r="C906" s="54"/>
      <c r="D906" s="54"/>
      <c r="E906" s="53"/>
      <c r="F906" s="53"/>
      <c r="G906" s="52">
        <f>ROUND($C$16*Table5[[#This Row],[Hours]],2)</f>
        <v>0</v>
      </c>
      <c r="H906" s="47"/>
      <c r="I906" s="51"/>
      <c r="J906" s="50"/>
      <c r="K906" s="49"/>
      <c r="L906" s="48" t="str">
        <f>IF(AND(LEN(K906)&gt;0,D906="APPROVED"),VLOOKUP(Table5[[#This Row],[COMPLETION %]],COMPL_STATUS,2,1),"")</f>
        <v/>
      </c>
      <c r="M906" s="47"/>
      <c r="N906" s="47"/>
      <c r="O906" s="46"/>
    </row>
    <row r="907" spans="3:15" s="55" customFormat="1" ht="15">
      <c r="C907" s="54"/>
      <c r="D907" s="54"/>
      <c r="E907" s="53"/>
      <c r="F907" s="53"/>
      <c r="G907" s="52">
        <f>ROUND($C$16*Table5[[#This Row],[Hours]],2)</f>
        <v>0</v>
      </c>
      <c r="H907" s="47"/>
      <c r="I907" s="51"/>
      <c r="J907" s="50"/>
      <c r="K907" s="49"/>
      <c r="L907" s="48" t="str">
        <f>IF(AND(LEN(K907)&gt;0,D907="APPROVED"),VLOOKUP(Table5[[#This Row],[COMPLETION %]],COMPL_STATUS,2,1),"")</f>
        <v/>
      </c>
      <c r="M907" s="47"/>
      <c r="N907" s="47"/>
      <c r="O907" s="46"/>
    </row>
    <row r="908" spans="3:15" s="55" customFormat="1" ht="15">
      <c r="C908" s="54"/>
      <c r="D908" s="54"/>
      <c r="E908" s="53"/>
      <c r="F908" s="53"/>
      <c r="G908" s="52">
        <f>ROUND($C$16*Table5[[#This Row],[Hours]],2)</f>
        <v>0</v>
      </c>
      <c r="H908" s="47"/>
      <c r="I908" s="51"/>
      <c r="J908" s="50"/>
      <c r="K908" s="49"/>
      <c r="L908" s="48" t="str">
        <f>IF(AND(LEN(K908)&gt;0,D908="APPROVED"),VLOOKUP(Table5[[#This Row],[COMPLETION %]],COMPL_STATUS,2,1),"")</f>
        <v/>
      </c>
      <c r="M908" s="47"/>
      <c r="N908" s="47"/>
      <c r="O908" s="46"/>
    </row>
    <row r="909" spans="3:15" s="55" customFormat="1" ht="15">
      <c r="C909" s="54"/>
      <c r="D909" s="54"/>
      <c r="E909" s="53"/>
      <c r="F909" s="53"/>
      <c r="G909" s="52">
        <f>ROUND($C$16*Table5[[#This Row],[Hours]],2)</f>
        <v>0</v>
      </c>
      <c r="H909" s="47"/>
      <c r="I909" s="51"/>
      <c r="J909" s="50"/>
      <c r="K909" s="49"/>
      <c r="L909" s="48" t="str">
        <f>IF(AND(LEN(K909)&gt;0,D909="APPROVED"),VLOOKUP(Table5[[#This Row],[COMPLETION %]],COMPL_STATUS,2,1),"")</f>
        <v/>
      </c>
      <c r="M909" s="47"/>
      <c r="N909" s="47"/>
      <c r="O909" s="46"/>
    </row>
    <row r="910" spans="3:15" s="55" customFormat="1" ht="15">
      <c r="C910" s="54"/>
      <c r="D910" s="54"/>
      <c r="E910" s="53"/>
      <c r="F910" s="53"/>
      <c r="G910" s="52">
        <f>ROUND($C$16*Table5[[#This Row],[Hours]],2)</f>
        <v>0</v>
      </c>
      <c r="H910" s="47"/>
      <c r="I910" s="51"/>
      <c r="J910" s="50"/>
      <c r="K910" s="49"/>
      <c r="L910" s="48" t="str">
        <f>IF(AND(LEN(K910)&gt;0,D910="APPROVED"),VLOOKUP(Table5[[#This Row],[COMPLETION %]],COMPL_STATUS,2,1),"")</f>
        <v/>
      </c>
      <c r="M910" s="47"/>
      <c r="N910" s="47"/>
      <c r="O910" s="46"/>
    </row>
    <row r="911" spans="3:15" s="55" customFormat="1" ht="15">
      <c r="C911" s="54"/>
      <c r="D911" s="54"/>
      <c r="E911" s="53"/>
      <c r="F911" s="53"/>
      <c r="G911" s="52">
        <f>ROUND($C$16*Table5[[#This Row],[Hours]],2)</f>
        <v>0</v>
      </c>
      <c r="H911" s="47"/>
      <c r="I911" s="51"/>
      <c r="J911" s="50"/>
      <c r="K911" s="49"/>
      <c r="L911" s="48" t="str">
        <f>IF(AND(LEN(K911)&gt;0,D911="APPROVED"),VLOOKUP(Table5[[#This Row],[COMPLETION %]],COMPL_STATUS,2,1),"")</f>
        <v/>
      </c>
      <c r="M911" s="47"/>
      <c r="N911" s="47"/>
      <c r="O911" s="46"/>
    </row>
    <row r="912" spans="3:15" s="55" customFormat="1" ht="15">
      <c r="C912" s="54"/>
      <c r="D912" s="54"/>
      <c r="E912" s="53"/>
      <c r="F912" s="53"/>
      <c r="G912" s="52">
        <f>ROUND($C$16*Table5[[#This Row],[Hours]],2)</f>
        <v>0</v>
      </c>
      <c r="H912" s="47"/>
      <c r="I912" s="51"/>
      <c r="J912" s="50"/>
      <c r="K912" s="49"/>
      <c r="L912" s="48" t="str">
        <f>IF(AND(LEN(K912)&gt;0,D912="APPROVED"),VLOOKUP(Table5[[#This Row],[COMPLETION %]],COMPL_STATUS,2,1),"")</f>
        <v/>
      </c>
      <c r="M912" s="47"/>
      <c r="N912" s="47"/>
      <c r="O912" s="46"/>
    </row>
    <row r="913" spans="3:15" s="55" customFormat="1" ht="15">
      <c r="C913" s="54"/>
      <c r="D913" s="54"/>
      <c r="E913" s="53"/>
      <c r="F913" s="53"/>
      <c r="G913" s="52">
        <f>ROUND($C$16*Table5[[#This Row],[Hours]],2)</f>
        <v>0</v>
      </c>
      <c r="H913" s="47"/>
      <c r="I913" s="51"/>
      <c r="J913" s="50"/>
      <c r="K913" s="49"/>
      <c r="L913" s="48" t="str">
        <f>IF(AND(LEN(K913)&gt;0,D913="APPROVED"),VLOOKUP(Table5[[#This Row],[COMPLETION %]],COMPL_STATUS,2,1),"")</f>
        <v/>
      </c>
      <c r="M913" s="47"/>
      <c r="N913" s="47"/>
      <c r="O913" s="46"/>
    </row>
    <row r="914" spans="3:15" s="55" customFormat="1" ht="15">
      <c r="C914" s="54"/>
      <c r="D914" s="54"/>
      <c r="E914" s="53"/>
      <c r="F914" s="53"/>
      <c r="G914" s="52">
        <f>ROUND($C$16*Table5[[#This Row],[Hours]],2)</f>
        <v>0</v>
      </c>
      <c r="H914" s="47"/>
      <c r="I914" s="51"/>
      <c r="J914" s="50"/>
      <c r="K914" s="49"/>
      <c r="L914" s="48" t="str">
        <f>IF(AND(LEN(K914)&gt;0,D914="APPROVED"),VLOOKUP(Table5[[#This Row],[COMPLETION %]],COMPL_STATUS,2,1),"")</f>
        <v/>
      </c>
      <c r="M914" s="47"/>
      <c r="N914" s="47"/>
      <c r="O914" s="46"/>
    </row>
    <row r="915" spans="3:15" s="55" customFormat="1" ht="15">
      <c r="C915" s="54"/>
      <c r="D915" s="54"/>
      <c r="E915" s="53"/>
      <c r="F915" s="53"/>
      <c r="G915" s="52">
        <f>ROUND($C$16*Table5[[#This Row],[Hours]],2)</f>
        <v>0</v>
      </c>
      <c r="H915" s="47"/>
      <c r="I915" s="51"/>
      <c r="J915" s="50"/>
      <c r="K915" s="49"/>
      <c r="L915" s="48" t="str">
        <f>IF(AND(LEN(K915)&gt;0,D915="APPROVED"),VLOOKUP(Table5[[#This Row],[COMPLETION %]],COMPL_STATUS,2,1),"")</f>
        <v/>
      </c>
      <c r="M915" s="47"/>
      <c r="N915" s="47"/>
      <c r="O915" s="46"/>
    </row>
    <row r="916" spans="3:15" s="55" customFormat="1" ht="15">
      <c r="C916" s="54"/>
      <c r="D916" s="54"/>
      <c r="E916" s="53"/>
      <c r="F916" s="53"/>
      <c r="G916" s="52">
        <f>ROUND($C$16*Table5[[#This Row],[Hours]],2)</f>
        <v>0</v>
      </c>
      <c r="H916" s="47"/>
      <c r="I916" s="51"/>
      <c r="J916" s="50"/>
      <c r="K916" s="49"/>
      <c r="L916" s="48" t="str">
        <f>IF(AND(LEN(K916)&gt;0,D916="APPROVED"),VLOOKUP(Table5[[#This Row],[COMPLETION %]],COMPL_STATUS,2,1),"")</f>
        <v/>
      </c>
      <c r="M916" s="47"/>
      <c r="N916" s="47"/>
      <c r="O916" s="46"/>
    </row>
    <row r="917" spans="3:15" s="55" customFormat="1" ht="15">
      <c r="C917" s="54"/>
      <c r="D917" s="54"/>
      <c r="E917" s="53"/>
      <c r="F917" s="53"/>
      <c r="G917" s="52">
        <f>ROUND($C$16*Table5[[#This Row],[Hours]],2)</f>
        <v>0</v>
      </c>
      <c r="H917" s="47"/>
      <c r="I917" s="51"/>
      <c r="J917" s="50"/>
      <c r="K917" s="49"/>
      <c r="L917" s="48" t="str">
        <f>IF(AND(LEN(K917)&gt;0,D917="APPROVED"),VLOOKUP(Table5[[#This Row],[COMPLETION %]],COMPL_STATUS,2,1),"")</f>
        <v/>
      </c>
      <c r="M917" s="47"/>
      <c r="N917" s="47"/>
      <c r="O917" s="46"/>
    </row>
    <row r="918" spans="3:15" s="55" customFormat="1" ht="15">
      <c r="C918" s="54"/>
      <c r="D918" s="54"/>
      <c r="E918" s="53"/>
      <c r="F918" s="53"/>
      <c r="G918" s="52">
        <f>ROUND($C$16*Table5[[#This Row],[Hours]],2)</f>
        <v>0</v>
      </c>
      <c r="H918" s="47"/>
      <c r="I918" s="51"/>
      <c r="J918" s="50"/>
      <c r="K918" s="49"/>
      <c r="L918" s="48" t="str">
        <f>IF(AND(LEN(K918)&gt;0,D918="APPROVED"),VLOOKUP(Table5[[#This Row],[COMPLETION %]],COMPL_STATUS,2,1),"")</f>
        <v/>
      </c>
      <c r="M918" s="47"/>
      <c r="N918" s="47"/>
      <c r="O918" s="46"/>
    </row>
    <row r="919" spans="3:15" s="55" customFormat="1" ht="15">
      <c r="C919" s="54"/>
      <c r="D919" s="54"/>
      <c r="E919" s="53"/>
      <c r="F919" s="53"/>
      <c r="G919" s="52">
        <f>ROUND($C$16*Table5[[#This Row],[Hours]],2)</f>
        <v>0</v>
      </c>
      <c r="H919" s="47"/>
      <c r="I919" s="51"/>
      <c r="J919" s="50"/>
      <c r="K919" s="49"/>
      <c r="L919" s="48" t="str">
        <f>IF(AND(LEN(K919)&gt;0,D919="APPROVED"),VLOOKUP(Table5[[#This Row],[COMPLETION %]],COMPL_STATUS,2,1),"")</f>
        <v/>
      </c>
      <c r="M919" s="47"/>
      <c r="N919" s="47"/>
      <c r="O919" s="46"/>
    </row>
    <row r="920" spans="3:15" s="55" customFormat="1" ht="15">
      <c r="C920" s="54"/>
      <c r="D920" s="54"/>
      <c r="E920" s="53"/>
      <c r="F920" s="53"/>
      <c r="G920" s="52">
        <f>ROUND($C$16*Table5[[#This Row],[Hours]],2)</f>
        <v>0</v>
      </c>
      <c r="H920" s="47"/>
      <c r="I920" s="51"/>
      <c r="J920" s="50"/>
      <c r="K920" s="49"/>
      <c r="L920" s="48" t="str">
        <f>IF(AND(LEN(K920)&gt;0,D920="APPROVED"),VLOOKUP(Table5[[#This Row],[COMPLETION %]],COMPL_STATUS,2,1),"")</f>
        <v/>
      </c>
      <c r="M920" s="47"/>
      <c r="N920" s="47"/>
      <c r="O920" s="46"/>
    </row>
    <row r="921" spans="3:15" s="55" customFormat="1" ht="15">
      <c r="C921" s="54"/>
      <c r="D921" s="54"/>
      <c r="E921" s="53"/>
      <c r="F921" s="53"/>
      <c r="G921" s="52">
        <f>ROUND($C$16*Table5[[#This Row],[Hours]],2)</f>
        <v>0</v>
      </c>
      <c r="H921" s="47"/>
      <c r="I921" s="51"/>
      <c r="J921" s="50"/>
      <c r="K921" s="49"/>
      <c r="L921" s="48" t="str">
        <f>IF(AND(LEN(K921)&gt;0,D921="APPROVED"),VLOOKUP(Table5[[#This Row],[COMPLETION %]],COMPL_STATUS,2,1),"")</f>
        <v/>
      </c>
      <c r="M921" s="47"/>
      <c r="N921" s="47"/>
      <c r="O921" s="46"/>
    </row>
    <row r="922" spans="3:15" s="55" customFormat="1" ht="15">
      <c r="C922" s="54"/>
      <c r="D922" s="54"/>
      <c r="E922" s="53"/>
      <c r="F922" s="53"/>
      <c r="G922" s="52">
        <f>ROUND($C$16*Table5[[#This Row],[Hours]],2)</f>
        <v>0</v>
      </c>
      <c r="H922" s="47"/>
      <c r="I922" s="51"/>
      <c r="J922" s="50"/>
      <c r="K922" s="49"/>
      <c r="L922" s="48" t="str">
        <f>IF(AND(LEN(K922)&gt;0,D922="APPROVED"),VLOOKUP(Table5[[#This Row],[COMPLETION %]],COMPL_STATUS,2,1),"")</f>
        <v/>
      </c>
      <c r="M922" s="47"/>
      <c r="N922" s="47"/>
      <c r="O922" s="46"/>
    </row>
    <row r="923" spans="3:15" s="55" customFormat="1" ht="15">
      <c r="C923" s="54"/>
      <c r="D923" s="54"/>
      <c r="E923" s="53"/>
      <c r="F923" s="53"/>
      <c r="G923" s="52">
        <f>ROUND($C$16*Table5[[#This Row],[Hours]],2)</f>
        <v>0</v>
      </c>
      <c r="H923" s="47"/>
      <c r="I923" s="51"/>
      <c r="J923" s="50"/>
      <c r="K923" s="49"/>
      <c r="L923" s="48" t="str">
        <f>IF(AND(LEN(K923)&gt;0,D923="APPROVED"),VLOOKUP(Table5[[#This Row],[COMPLETION %]],COMPL_STATUS,2,1),"")</f>
        <v/>
      </c>
      <c r="M923" s="47"/>
      <c r="N923" s="47"/>
      <c r="O923" s="46"/>
    </row>
    <row r="924" spans="3:15" s="55" customFormat="1" ht="15">
      <c r="C924" s="54"/>
      <c r="D924" s="54"/>
      <c r="E924" s="53"/>
      <c r="F924" s="53"/>
      <c r="G924" s="52">
        <f>ROUND($C$16*Table5[[#This Row],[Hours]],2)</f>
        <v>0</v>
      </c>
      <c r="H924" s="47"/>
      <c r="I924" s="51"/>
      <c r="J924" s="50"/>
      <c r="K924" s="49"/>
      <c r="L924" s="48" t="str">
        <f>IF(AND(LEN(K924)&gt;0,D924="APPROVED"),VLOOKUP(Table5[[#This Row],[COMPLETION %]],COMPL_STATUS,2,1),"")</f>
        <v/>
      </c>
      <c r="M924" s="47"/>
      <c r="N924" s="47"/>
      <c r="O924" s="46"/>
    </row>
    <row r="925" spans="3:15" s="55" customFormat="1" ht="15">
      <c r="C925" s="54"/>
      <c r="D925" s="54"/>
      <c r="E925" s="53"/>
      <c r="F925" s="53"/>
      <c r="G925" s="52">
        <f>ROUND($C$16*Table5[[#This Row],[Hours]],2)</f>
        <v>0</v>
      </c>
      <c r="H925" s="47"/>
      <c r="I925" s="51"/>
      <c r="J925" s="50"/>
      <c r="K925" s="49"/>
      <c r="L925" s="48" t="str">
        <f>IF(AND(LEN(K925)&gt;0,D925="APPROVED"),VLOOKUP(Table5[[#This Row],[COMPLETION %]],COMPL_STATUS,2,1),"")</f>
        <v/>
      </c>
      <c r="M925" s="47"/>
      <c r="N925" s="47"/>
      <c r="O925" s="46"/>
    </row>
    <row r="926" spans="3:15" s="55" customFormat="1" ht="15">
      <c r="C926" s="54"/>
      <c r="D926" s="54"/>
      <c r="E926" s="53"/>
      <c r="F926" s="53"/>
      <c r="G926" s="52">
        <f>ROUND($C$16*Table5[[#This Row],[Hours]],2)</f>
        <v>0</v>
      </c>
      <c r="H926" s="47"/>
      <c r="I926" s="51"/>
      <c r="J926" s="50"/>
      <c r="K926" s="49"/>
      <c r="L926" s="48" t="str">
        <f>IF(AND(LEN(K926)&gt;0,D926="APPROVED"),VLOOKUP(Table5[[#This Row],[COMPLETION %]],COMPL_STATUS,2,1),"")</f>
        <v/>
      </c>
      <c r="M926" s="47"/>
      <c r="N926" s="47"/>
      <c r="O926" s="46"/>
    </row>
    <row r="927" spans="3:15" s="55" customFormat="1" ht="15">
      <c r="C927" s="54"/>
      <c r="D927" s="54"/>
      <c r="E927" s="53"/>
      <c r="F927" s="53"/>
      <c r="G927" s="52">
        <f>ROUND($C$16*Table5[[#This Row],[Hours]],2)</f>
        <v>0</v>
      </c>
      <c r="H927" s="47"/>
      <c r="I927" s="51"/>
      <c r="J927" s="50"/>
      <c r="K927" s="49"/>
      <c r="L927" s="48" t="str">
        <f>IF(AND(LEN(K927)&gt;0,D927="APPROVED"),VLOOKUP(Table5[[#This Row],[COMPLETION %]],COMPL_STATUS,2,1),"")</f>
        <v/>
      </c>
      <c r="M927" s="47"/>
      <c r="N927" s="47"/>
      <c r="O927" s="46"/>
    </row>
    <row r="928" spans="3:15" s="55" customFormat="1" ht="15">
      <c r="C928" s="54"/>
      <c r="D928" s="54"/>
      <c r="E928" s="53"/>
      <c r="F928" s="53"/>
      <c r="G928" s="52">
        <f>ROUND($C$16*Table5[[#This Row],[Hours]],2)</f>
        <v>0</v>
      </c>
      <c r="H928" s="47"/>
      <c r="I928" s="51"/>
      <c r="J928" s="50"/>
      <c r="K928" s="49"/>
      <c r="L928" s="48" t="str">
        <f>IF(AND(LEN(K928)&gt;0,D928="APPROVED"),VLOOKUP(Table5[[#This Row],[COMPLETION %]],COMPL_STATUS,2,1),"")</f>
        <v/>
      </c>
      <c r="M928" s="47"/>
      <c r="N928" s="47"/>
      <c r="O928" s="46"/>
    </row>
    <row r="929" spans="3:15" s="55" customFormat="1" ht="15">
      <c r="C929" s="54"/>
      <c r="D929" s="54"/>
      <c r="E929" s="53"/>
      <c r="F929" s="53"/>
      <c r="G929" s="52">
        <f>ROUND($C$16*Table5[[#This Row],[Hours]],2)</f>
        <v>0</v>
      </c>
      <c r="H929" s="47"/>
      <c r="I929" s="51"/>
      <c r="J929" s="50"/>
      <c r="K929" s="49"/>
      <c r="L929" s="48" t="str">
        <f>IF(AND(LEN(K929)&gt;0,D929="APPROVED"),VLOOKUP(Table5[[#This Row],[COMPLETION %]],COMPL_STATUS,2,1),"")</f>
        <v/>
      </c>
      <c r="M929" s="47"/>
      <c r="N929" s="47"/>
      <c r="O929" s="46"/>
    </row>
    <row r="930" spans="3:15" s="55" customFormat="1" ht="15">
      <c r="C930" s="54"/>
      <c r="D930" s="54"/>
      <c r="E930" s="53"/>
      <c r="F930" s="53"/>
      <c r="G930" s="52">
        <f>ROUND($C$16*Table5[[#This Row],[Hours]],2)</f>
        <v>0</v>
      </c>
      <c r="H930" s="47"/>
      <c r="I930" s="51"/>
      <c r="J930" s="50"/>
      <c r="K930" s="49"/>
      <c r="L930" s="48" t="str">
        <f>IF(AND(LEN(K930)&gt;0,D930="APPROVED"),VLOOKUP(Table5[[#This Row],[COMPLETION %]],COMPL_STATUS,2,1),"")</f>
        <v/>
      </c>
      <c r="M930" s="47"/>
      <c r="N930" s="47"/>
      <c r="O930" s="46"/>
    </row>
    <row r="931" spans="3:15" s="55" customFormat="1" ht="15">
      <c r="C931" s="54"/>
      <c r="D931" s="54"/>
      <c r="E931" s="53"/>
      <c r="F931" s="53"/>
      <c r="G931" s="52">
        <f>ROUND($C$16*Table5[[#This Row],[Hours]],2)</f>
        <v>0</v>
      </c>
      <c r="H931" s="47"/>
      <c r="I931" s="51"/>
      <c r="J931" s="50"/>
      <c r="K931" s="49"/>
      <c r="L931" s="48" t="str">
        <f>IF(AND(LEN(K931)&gt;0,D931="APPROVED"),VLOOKUP(Table5[[#This Row],[COMPLETION %]],COMPL_STATUS,2,1),"")</f>
        <v/>
      </c>
      <c r="M931" s="47"/>
      <c r="N931" s="47"/>
      <c r="O931" s="46"/>
    </row>
    <row r="932" spans="3:15" s="55" customFormat="1" ht="15">
      <c r="C932" s="54"/>
      <c r="D932" s="54"/>
      <c r="E932" s="53"/>
      <c r="F932" s="53"/>
      <c r="G932" s="52">
        <f>ROUND($C$16*Table5[[#This Row],[Hours]],2)</f>
        <v>0</v>
      </c>
      <c r="H932" s="47"/>
      <c r="I932" s="51"/>
      <c r="J932" s="50"/>
      <c r="K932" s="49"/>
      <c r="L932" s="48" t="str">
        <f>IF(AND(LEN(K932)&gt;0,D932="APPROVED"),VLOOKUP(Table5[[#This Row],[COMPLETION %]],COMPL_STATUS,2,1),"")</f>
        <v/>
      </c>
      <c r="M932" s="47"/>
      <c r="N932" s="47"/>
      <c r="O932" s="46"/>
    </row>
    <row r="933" spans="3:15" s="55" customFormat="1" ht="15">
      <c r="C933" s="54"/>
      <c r="D933" s="54"/>
      <c r="E933" s="53"/>
      <c r="F933" s="53"/>
      <c r="G933" s="52">
        <f>ROUND($C$16*Table5[[#This Row],[Hours]],2)</f>
        <v>0</v>
      </c>
      <c r="H933" s="47"/>
      <c r="I933" s="51"/>
      <c r="J933" s="50"/>
      <c r="K933" s="49"/>
      <c r="L933" s="48" t="str">
        <f>IF(AND(LEN(K933)&gt;0,D933="APPROVED"),VLOOKUP(Table5[[#This Row],[COMPLETION %]],COMPL_STATUS,2,1),"")</f>
        <v/>
      </c>
      <c r="M933" s="47"/>
      <c r="N933" s="47"/>
      <c r="O933" s="46"/>
    </row>
    <row r="934" spans="3:15" s="55" customFormat="1" ht="15">
      <c r="C934" s="54"/>
      <c r="D934" s="54"/>
      <c r="E934" s="53"/>
      <c r="F934" s="53"/>
      <c r="G934" s="52">
        <f>ROUND($C$16*Table5[[#This Row],[Hours]],2)</f>
        <v>0</v>
      </c>
      <c r="H934" s="47"/>
      <c r="I934" s="51"/>
      <c r="J934" s="50"/>
      <c r="K934" s="49"/>
      <c r="L934" s="48" t="str">
        <f>IF(AND(LEN(K934)&gt;0,D934="APPROVED"),VLOOKUP(Table5[[#This Row],[COMPLETION %]],COMPL_STATUS,2,1),"")</f>
        <v/>
      </c>
      <c r="M934" s="47"/>
      <c r="N934" s="47"/>
      <c r="O934" s="46"/>
    </row>
    <row r="935" spans="3:15" s="55" customFormat="1" ht="15">
      <c r="C935" s="54"/>
      <c r="D935" s="54"/>
      <c r="E935" s="53"/>
      <c r="F935" s="53"/>
      <c r="G935" s="52">
        <f>ROUND($C$16*Table5[[#This Row],[Hours]],2)</f>
        <v>0</v>
      </c>
      <c r="H935" s="47"/>
      <c r="I935" s="51"/>
      <c r="J935" s="50"/>
      <c r="K935" s="49"/>
      <c r="L935" s="48" t="str">
        <f>IF(AND(LEN(K935)&gt;0,D935="APPROVED"),VLOOKUP(Table5[[#This Row],[COMPLETION %]],COMPL_STATUS,2,1),"")</f>
        <v/>
      </c>
      <c r="M935" s="47"/>
      <c r="N935" s="47"/>
      <c r="O935" s="46"/>
    </row>
    <row r="936" spans="3:15" s="55" customFormat="1" ht="15">
      <c r="C936" s="54"/>
      <c r="D936" s="54"/>
      <c r="E936" s="53"/>
      <c r="F936" s="53"/>
      <c r="G936" s="52">
        <f>ROUND($C$16*Table5[[#This Row],[Hours]],2)</f>
        <v>0</v>
      </c>
      <c r="H936" s="47"/>
      <c r="I936" s="51"/>
      <c r="J936" s="50"/>
      <c r="K936" s="49"/>
      <c r="L936" s="48" t="str">
        <f>IF(AND(LEN(K936)&gt;0,D936="APPROVED"),VLOOKUP(Table5[[#This Row],[COMPLETION %]],COMPL_STATUS,2,1),"")</f>
        <v/>
      </c>
      <c r="M936" s="47"/>
      <c r="N936" s="47"/>
      <c r="O936" s="46"/>
    </row>
    <row r="937" spans="3:15" s="55" customFormat="1" ht="15">
      <c r="C937" s="54"/>
      <c r="D937" s="54"/>
      <c r="E937" s="53"/>
      <c r="F937" s="53"/>
      <c r="G937" s="52">
        <f>ROUND($C$16*Table5[[#This Row],[Hours]],2)</f>
        <v>0</v>
      </c>
      <c r="H937" s="47"/>
      <c r="I937" s="51"/>
      <c r="J937" s="50"/>
      <c r="K937" s="49"/>
      <c r="L937" s="48" t="str">
        <f>IF(AND(LEN(K937)&gt;0,D937="APPROVED"),VLOOKUP(Table5[[#This Row],[COMPLETION %]],COMPL_STATUS,2,1),"")</f>
        <v/>
      </c>
      <c r="M937" s="47"/>
      <c r="N937" s="47"/>
      <c r="O937" s="46"/>
    </row>
    <row r="938" spans="3:15" s="55" customFormat="1" ht="15">
      <c r="C938" s="54"/>
      <c r="D938" s="54"/>
      <c r="E938" s="53"/>
      <c r="F938" s="53"/>
      <c r="G938" s="52">
        <f>ROUND($C$16*Table5[[#This Row],[Hours]],2)</f>
        <v>0</v>
      </c>
      <c r="H938" s="47"/>
      <c r="I938" s="51"/>
      <c r="J938" s="50"/>
      <c r="K938" s="49"/>
      <c r="L938" s="48" t="str">
        <f>IF(AND(LEN(K938)&gt;0,D938="APPROVED"),VLOOKUP(Table5[[#This Row],[COMPLETION %]],COMPL_STATUS,2,1),"")</f>
        <v/>
      </c>
      <c r="M938" s="47"/>
      <c r="N938" s="47"/>
      <c r="O938" s="46"/>
    </row>
    <row r="939" spans="3:15" s="55" customFormat="1" ht="15">
      <c r="C939" s="54"/>
      <c r="D939" s="54"/>
      <c r="E939" s="53"/>
      <c r="F939" s="53"/>
      <c r="G939" s="52">
        <f>ROUND($C$16*Table5[[#This Row],[Hours]],2)</f>
        <v>0</v>
      </c>
      <c r="H939" s="47"/>
      <c r="I939" s="51"/>
      <c r="J939" s="50"/>
      <c r="K939" s="49"/>
      <c r="L939" s="48" t="str">
        <f>IF(AND(LEN(K939)&gt;0,D939="APPROVED"),VLOOKUP(Table5[[#This Row],[COMPLETION %]],COMPL_STATUS,2,1),"")</f>
        <v/>
      </c>
      <c r="M939" s="47"/>
      <c r="N939" s="47"/>
      <c r="O939" s="46"/>
    </row>
    <row r="940" spans="3:15" s="55" customFormat="1" ht="15">
      <c r="C940" s="54"/>
      <c r="D940" s="54"/>
      <c r="E940" s="53"/>
      <c r="F940" s="53"/>
      <c r="G940" s="52">
        <f>ROUND($C$16*Table5[[#This Row],[Hours]],2)</f>
        <v>0</v>
      </c>
      <c r="H940" s="47"/>
      <c r="I940" s="51"/>
      <c r="J940" s="50"/>
      <c r="K940" s="49"/>
      <c r="L940" s="48" t="str">
        <f>IF(AND(LEN(K940)&gt;0,D940="APPROVED"),VLOOKUP(Table5[[#This Row],[COMPLETION %]],COMPL_STATUS,2,1),"")</f>
        <v/>
      </c>
      <c r="M940" s="47"/>
      <c r="N940" s="47"/>
      <c r="O940" s="46"/>
    </row>
    <row r="941" spans="3:15" s="55" customFormat="1" ht="15">
      <c r="C941" s="54"/>
      <c r="D941" s="54"/>
      <c r="E941" s="53"/>
      <c r="F941" s="53"/>
      <c r="G941" s="52">
        <f>ROUND($C$16*Table5[[#This Row],[Hours]],2)</f>
        <v>0</v>
      </c>
      <c r="H941" s="47"/>
      <c r="I941" s="51"/>
      <c r="J941" s="50"/>
      <c r="K941" s="49"/>
      <c r="L941" s="48" t="str">
        <f>IF(AND(LEN(K941)&gt;0,D941="APPROVED"),VLOOKUP(Table5[[#This Row],[COMPLETION %]],COMPL_STATUS,2,1),"")</f>
        <v/>
      </c>
      <c r="M941" s="47"/>
      <c r="N941" s="47"/>
      <c r="O941" s="46"/>
    </row>
    <row r="942" spans="3:15" s="55" customFormat="1" ht="15">
      <c r="C942" s="54"/>
      <c r="D942" s="54"/>
      <c r="E942" s="53"/>
      <c r="F942" s="53"/>
      <c r="G942" s="52">
        <f>ROUND($C$16*Table5[[#This Row],[Hours]],2)</f>
        <v>0</v>
      </c>
      <c r="H942" s="47"/>
      <c r="I942" s="51"/>
      <c r="J942" s="50"/>
      <c r="K942" s="49"/>
      <c r="L942" s="48" t="str">
        <f>IF(AND(LEN(K942)&gt;0,D942="APPROVED"),VLOOKUP(Table5[[#This Row],[COMPLETION %]],COMPL_STATUS,2,1),"")</f>
        <v/>
      </c>
      <c r="M942" s="47"/>
      <c r="N942" s="47"/>
      <c r="O942" s="46"/>
    </row>
    <row r="943" spans="3:15" s="55" customFormat="1" ht="15">
      <c r="C943" s="54"/>
      <c r="D943" s="54"/>
      <c r="E943" s="53"/>
      <c r="F943" s="53"/>
      <c r="G943" s="52">
        <f>ROUND($C$16*Table5[[#This Row],[Hours]],2)</f>
        <v>0</v>
      </c>
      <c r="H943" s="47"/>
      <c r="I943" s="51"/>
      <c r="J943" s="50"/>
      <c r="K943" s="49"/>
      <c r="L943" s="48" t="str">
        <f>IF(AND(LEN(K943)&gt;0,D943="APPROVED"),VLOOKUP(Table5[[#This Row],[COMPLETION %]],COMPL_STATUS,2,1),"")</f>
        <v/>
      </c>
      <c r="M943" s="47"/>
      <c r="N943" s="47"/>
      <c r="O943" s="46"/>
    </row>
    <row r="944" spans="3:15" s="55" customFormat="1" ht="15">
      <c r="C944" s="54"/>
      <c r="D944" s="54"/>
      <c r="E944" s="53"/>
      <c r="F944" s="53"/>
      <c r="G944" s="52">
        <f>ROUND($C$16*Table5[[#This Row],[Hours]],2)</f>
        <v>0</v>
      </c>
      <c r="H944" s="47"/>
      <c r="I944" s="51"/>
      <c r="J944" s="50"/>
      <c r="K944" s="49"/>
      <c r="L944" s="48" t="str">
        <f>IF(AND(LEN(K944)&gt;0,D944="APPROVED"),VLOOKUP(Table5[[#This Row],[COMPLETION %]],COMPL_STATUS,2,1),"")</f>
        <v/>
      </c>
      <c r="M944" s="47"/>
      <c r="N944" s="47"/>
      <c r="O944" s="46"/>
    </row>
    <row r="945" spans="3:15" s="55" customFormat="1" ht="15">
      <c r="C945" s="54"/>
      <c r="D945" s="54"/>
      <c r="E945" s="53"/>
      <c r="F945" s="53"/>
      <c r="G945" s="52">
        <f>ROUND($C$16*Table5[[#This Row],[Hours]],2)</f>
        <v>0</v>
      </c>
      <c r="H945" s="47"/>
      <c r="I945" s="51"/>
      <c r="J945" s="50"/>
      <c r="K945" s="49"/>
      <c r="L945" s="48" t="str">
        <f>IF(AND(LEN(K945)&gt;0,D945="APPROVED"),VLOOKUP(Table5[[#This Row],[COMPLETION %]],COMPL_STATUS,2,1),"")</f>
        <v/>
      </c>
      <c r="M945" s="47"/>
      <c r="N945" s="47"/>
      <c r="O945" s="46"/>
    </row>
    <row r="946" spans="3:15" s="55" customFormat="1" ht="15">
      <c r="C946" s="54"/>
      <c r="D946" s="54"/>
      <c r="E946" s="53"/>
      <c r="F946" s="53"/>
      <c r="G946" s="52">
        <f>ROUND($C$16*Table5[[#This Row],[Hours]],2)</f>
        <v>0</v>
      </c>
      <c r="H946" s="47"/>
      <c r="I946" s="51"/>
      <c r="J946" s="50"/>
      <c r="K946" s="49"/>
      <c r="L946" s="48" t="str">
        <f>IF(AND(LEN(K946)&gt;0,D946="APPROVED"),VLOOKUP(Table5[[#This Row],[COMPLETION %]],COMPL_STATUS,2,1),"")</f>
        <v/>
      </c>
      <c r="M946" s="47"/>
      <c r="N946" s="47"/>
      <c r="O946" s="46"/>
    </row>
    <row r="947" spans="3:15" s="55" customFormat="1" ht="15">
      <c r="C947" s="54"/>
      <c r="D947" s="54"/>
      <c r="E947" s="53"/>
      <c r="F947" s="53"/>
      <c r="G947" s="52">
        <f>ROUND($C$16*Table5[[#This Row],[Hours]],2)</f>
        <v>0</v>
      </c>
      <c r="H947" s="47"/>
      <c r="I947" s="51"/>
      <c r="J947" s="50"/>
      <c r="K947" s="49"/>
      <c r="L947" s="48" t="str">
        <f>IF(AND(LEN(K947)&gt;0,D947="APPROVED"),VLOOKUP(Table5[[#This Row],[COMPLETION %]],COMPL_STATUS,2,1),"")</f>
        <v/>
      </c>
      <c r="M947" s="47"/>
      <c r="N947" s="47"/>
      <c r="O947" s="46"/>
    </row>
    <row r="948" spans="3:15" s="55" customFormat="1" ht="15">
      <c r="C948" s="54"/>
      <c r="D948" s="54"/>
      <c r="E948" s="53"/>
      <c r="F948" s="53"/>
      <c r="G948" s="52">
        <f>ROUND($C$16*Table5[[#This Row],[Hours]],2)</f>
        <v>0</v>
      </c>
      <c r="H948" s="47"/>
      <c r="I948" s="51"/>
      <c r="J948" s="50"/>
      <c r="K948" s="49"/>
      <c r="L948" s="48" t="str">
        <f>IF(AND(LEN(K948)&gt;0,D948="APPROVED"),VLOOKUP(Table5[[#This Row],[COMPLETION %]],COMPL_STATUS,2,1),"")</f>
        <v/>
      </c>
      <c r="M948" s="47"/>
      <c r="N948" s="47"/>
      <c r="O948" s="46"/>
    </row>
    <row r="949" spans="3:15" s="55" customFormat="1" ht="15">
      <c r="C949" s="54"/>
      <c r="D949" s="54"/>
      <c r="E949" s="53"/>
      <c r="F949" s="53"/>
      <c r="G949" s="52">
        <f>ROUND($C$16*Table5[[#This Row],[Hours]],2)</f>
        <v>0</v>
      </c>
      <c r="H949" s="47"/>
      <c r="I949" s="51"/>
      <c r="J949" s="50"/>
      <c r="K949" s="49"/>
      <c r="L949" s="48" t="str">
        <f>IF(AND(LEN(K949)&gt;0,D949="APPROVED"),VLOOKUP(Table5[[#This Row],[COMPLETION %]],COMPL_STATUS,2,1),"")</f>
        <v/>
      </c>
      <c r="M949" s="47"/>
      <c r="N949" s="47"/>
      <c r="O949" s="46"/>
    </row>
    <row r="950" spans="3:15" s="55" customFormat="1" ht="15">
      <c r="C950" s="54"/>
      <c r="D950" s="54"/>
      <c r="E950" s="53"/>
      <c r="F950" s="53"/>
      <c r="G950" s="52">
        <f>ROUND($C$16*Table5[[#This Row],[Hours]],2)</f>
        <v>0</v>
      </c>
      <c r="H950" s="47"/>
      <c r="I950" s="51"/>
      <c r="J950" s="50"/>
      <c r="K950" s="49"/>
      <c r="L950" s="48" t="str">
        <f>IF(AND(LEN(K950)&gt;0,D950="APPROVED"),VLOOKUP(Table5[[#This Row],[COMPLETION %]],COMPL_STATUS,2,1),"")</f>
        <v/>
      </c>
      <c r="M950" s="47"/>
      <c r="N950" s="47"/>
      <c r="O950" s="46"/>
    </row>
    <row r="951" spans="3:15" s="55" customFormat="1" ht="15">
      <c r="C951" s="54"/>
      <c r="D951" s="54"/>
      <c r="E951" s="53"/>
      <c r="F951" s="53"/>
      <c r="G951" s="52">
        <f>ROUND($C$16*Table5[[#This Row],[Hours]],2)</f>
        <v>0</v>
      </c>
      <c r="H951" s="47"/>
      <c r="I951" s="51"/>
      <c r="J951" s="50"/>
      <c r="K951" s="49"/>
      <c r="L951" s="48" t="str">
        <f>IF(AND(LEN(K951)&gt;0,D951="APPROVED"),VLOOKUP(Table5[[#This Row],[COMPLETION %]],COMPL_STATUS,2,1),"")</f>
        <v/>
      </c>
      <c r="M951" s="47"/>
      <c r="N951" s="47"/>
      <c r="O951" s="46"/>
    </row>
    <row r="952" spans="3:15" s="55" customFormat="1" ht="15">
      <c r="C952" s="54"/>
      <c r="D952" s="54"/>
      <c r="E952" s="53"/>
      <c r="F952" s="53"/>
      <c r="G952" s="52">
        <f>ROUND($C$16*Table5[[#This Row],[Hours]],2)</f>
        <v>0</v>
      </c>
      <c r="H952" s="47"/>
      <c r="I952" s="51"/>
      <c r="J952" s="50"/>
      <c r="K952" s="49"/>
      <c r="L952" s="48" t="str">
        <f>IF(AND(LEN(K952)&gt;0,D952="APPROVED"),VLOOKUP(Table5[[#This Row],[COMPLETION %]],COMPL_STATUS,2,1),"")</f>
        <v/>
      </c>
      <c r="M952" s="47"/>
      <c r="N952" s="47"/>
      <c r="O952" s="46"/>
    </row>
    <row r="953" spans="3:15" s="55" customFormat="1" ht="15">
      <c r="C953" s="54"/>
      <c r="D953" s="54"/>
      <c r="E953" s="53"/>
      <c r="F953" s="53"/>
      <c r="G953" s="52">
        <f>ROUND($C$16*Table5[[#This Row],[Hours]],2)</f>
        <v>0</v>
      </c>
      <c r="H953" s="47"/>
      <c r="I953" s="51"/>
      <c r="J953" s="50"/>
      <c r="K953" s="49"/>
      <c r="L953" s="48" t="str">
        <f>IF(AND(LEN(K953)&gt;0,D953="APPROVED"),VLOOKUP(Table5[[#This Row],[COMPLETION %]],COMPL_STATUS,2,1),"")</f>
        <v/>
      </c>
      <c r="M953" s="47"/>
      <c r="N953" s="47"/>
      <c r="O953" s="46"/>
    </row>
    <row r="954" spans="3:15" s="55" customFormat="1" ht="15">
      <c r="C954" s="54"/>
      <c r="D954" s="54"/>
      <c r="E954" s="53"/>
      <c r="F954" s="53"/>
      <c r="G954" s="52">
        <f>ROUND($C$16*Table5[[#This Row],[Hours]],2)</f>
        <v>0</v>
      </c>
      <c r="H954" s="47"/>
      <c r="I954" s="51"/>
      <c r="J954" s="50"/>
      <c r="K954" s="49"/>
      <c r="L954" s="48" t="str">
        <f>IF(AND(LEN(K954)&gt;0,D954="APPROVED"),VLOOKUP(Table5[[#This Row],[COMPLETION %]],COMPL_STATUS,2,1),"")</f>
        <v/>
      </c>
      <c r="M954" s="47"/>
      <c r="N954" s="47"/>
      <c r="O954" s="46"/>
    </row>
    <row r="955" spans="3:15" s="55" customFormat="1" ht="15">
      <c r="C955" s="54"/>
      <c r="D955" s="54"/>
      <c r="E955" s="53"/>
      <c r="F955" s="53"/>
      <c r="G955" s="52">
        <f>ROUND($C$16*Table5[[#This Row],[Hours]],2)</f>
        <v>0</v>
      </c>
      <c r="H955" s="47"/>
      <c r="I955" s="51"/>
      <c r="J955" s="50"/>
      <c r="K955" s="49"/>
      <c r="L955" s="48" t="str">
        <f>IF(AND(LEN(K955)&gt;0,D955="APPROVED"),VLOOKUP(Table5[[#This Row],[COMPLETION %]],COMPL_STATUS,2,1),"")</f>
        <v/>
      </c>
      <c r="M955" s="47"/>
      <c r="N955" s="47"/>
      <c r="O955" s="46"/>
    </row>
    <row r="956" spans="3:15" s="55" customFormat="1" ht="15">
      <c r="C956" s="54"/>
      <c r="D956" s="54"/>
      <c r="E956" s="53"/>
      <c r="F956" s="53"/>
      <c r="G956" s="52">
        <f>ROUND($C$16*Table5[[#This Row],[Hours]],2)</f>
        <v>0</v>
      </c>
      <c r="H956" s="47"/>
      <c r="I956" s="51"/>
      <c r="J956" s="50"/>
      <c r="K956" s="49"/>
      <c r="L956" s="48" t="str">
        <f>IF(AND(LEN(K956)&gt;0,D956="APPROVED"),VLOOKUP(Table5[[#This Row],[COMPLETION %]],COMPL_STATUS,2,1),"")</f>
        <v/>
      </c>
      <c r="M956" s="47"/>
      <c r="N956" s="47"/>
      <c r="O956" s="46"/>
    </row>
    <row r="957" spans="3:15" s="55" customFormat="1" ht="15">
      <c r="C957" s="54"/>
      <c r="D957" s="54"/>
      <c r="E957" s="53"/>
      <c r="F957" s="53"/>
      <c r="G957" s="52">
        <f>ROUND($C$16*Table5[[#This Row],[Hours]],2)</f>
        <v>0</v>
      </c>
      <c r="H957" s="47"/>
      <c r="I957" s="51"/>
      <c r="J957" s="50"/>
      <c r="K957" s="49"/>
      <c r="L957" s="48" t="str">
        <f>IF(AND(LEN(K957)&gt;0,D957="APPROVED"),VLOOKUP(Table5[[#This Row],[COMPLETION %]],COMPL_STATUS,2,1),"")</f>
        <v/>
      </c>
      <c r="M957" s="47"/>
      <c r="N957" s="47"/>
      <c r="O957" s="46"/>
    </row>
    <row r="958" spans="3:15" s="55" customFormat="1" ht="15">
      <c r="C958" s="54"/>
      <c r="D958" s="54"/>
      <c r="E958" s="53"/>
      <c r="F958" s="53"/>
      <c r="G958" s="52">
        <f>ROUND($C$16*Table5[[#This Row],[Hours]],2)</f>
        <v>0</v>
      </c>
      <c r="H958" s="47"/>
      <c r="I958" s="51"/>
      <c r="J958" s="50"/>
      <c r="K958" s="49"/>
      <c r="L958" s="48" t="str">
        <f>IF(AND(LEN(K958)&gt;0,D958="APPROVED"),VLOOKUP(Table5[[#This Row],[COMPLETION %]],COMPL_STATUS,2,1),"")</f>
        <v/>
      </c>
      <c r="M958" s="47"/>
      <c r="N958" s="47"/>
      <c r="O958" s="46"/>
    </row>
    <row r="959" spans="3:15" s="55" customFormat="1" ht="15">
      <c r="C959" s="54"/>
      <c r="D959" s="54"/>
      <c r="E959" s="53"/>
      <c r="F959" s="53"/>
      <c r="G959" s="52">
        <f>ROUND($C$16*Table5[[#This Row],[Hours]],2)</f>
        <v>0</v>
      </c>
      <c r="H959" s="47"/>
      <c r="I959" s="51"/>
      <c r="J959" s="50"/>
      <c r="K959" s="49"/>
      <c r="L959" s="48" t="str">
        <f>IF(AND(LEN(K959)&gt;0,D959="APPROVED"),VLOOKUP(Table5[[#This Row],[COMPLETION %]],COMPL_STATUS,2,1),"")</f>
        <v/>
      </c>
      <c r="M959" s="47"/>
      <c r="N959" s="47"/>
      <c r="O959" s="46"/>
    </row>
    <row r="960" spans="3:15" s="55" customFormat="1" ht="15">
      <c r="C960" s="54"/>
      <c r="D960" s="54"/>
      <c r="E960" s="53"/>
      <c r="F960" s="53"/>
      <c r="G960" s="52">
        <f>ROUND($C$16*Table5[[#This Row],[Hours]],2)</f>
        <v>0</v>
      </c>
      <c r="H960" s="47"/>
      <c r="I960" s="51"/>
      <c r="J960" s="50"/>
      <c r="K960" s="49"/>
      <c r="L960" s="48" t="str">
        <f>IF(AND(LEN(K960)&gt;0,D960="APPROVED"),VLOOKUP(Table5[[#This Row],[COMPLETION %]],COMPL_STATUS,2,1),"")</f>
        <v/>
      </c>
      <c r="M960" s="47"/>
      <c r="N960" s="47"/>
      <c r="O960" s="46"/>
    </row>
    <row r="961" spans="2:15" s="55" customFormat="1" ht="15">
      <c r="C961" s="54"/>
      <c r="D961" s="54"/>
      <c r="E961" s="53"/>
      <c r="F961" s="53"/>
      <c r="G961" s="52">
        <f>ROUND($C$16*Table5[[#This Row],[Hours]],2)</f>
        <v>0</v>
      </c>
      <c r="H961" s="47"/>
      <c r="I961" s="51"/>
      <c r="J961" s="50"/>
      <c r="K961" s="49"/>
      <c r="L961" s="48" t="str">
        <f>IF(AND(LEN(K961)&gt;0,D961="APPROVED"),VLOOKUP(Table5[[#This Row],[COMPLETION %]],COMPL_STATUS,2,1),"")</f>
        <v/>
      </c>
      <c r="M961" s="47"/>
      <c r="N961" s="47"/>
      <c r="O961" s="46"/>
    </row>
    <row r="962" spans="2:15" s="55" customFormat="1" ht="15">
      <c r="C962" s="54"/>
      <c r="D962" s="54"/>
      <c r="E962" s="53"/>
      <c r="F962" s="53"/>
      <c r="G962" s="52">
        <f>ROUND($C$16*Table5[[#This Row],[Hours]],2)</f>
        <v>0</v>
      </c>
      <c r="H962" s="47"/>
      <c r="I962" s="51"/>
      <c r="J962" s="50"/>
      <c r="K962" s="49"/>
      <c r="L962" s="48" t="str">
        <f>IF(AND(LEN(K962)&gt;0,D962="APPROVED"),VLOOKUP(Table5[[#This Row],[COMPLETION %]],COMPL_STATUS,2,1),"")</f>
        <v/>
      </c>
      <c r="M962" s="47"/>
      <c r="N962" s="47"/>
      <c r="O962" s="46"/>
    </row>
    <row r="963" spans="2:15" s="55" customFormat="1" ht="15">
      <c r="C963" s="54"/>
      <c r="D963" s="54"/>
      <c r="E963" s="53"/>
      <c r="F963" s="53"/>
      <c r="G963" s="52">
        <f>ROUND($C$16*Table5[[#This Row],[Hours]],2)</f>
        <v>0</v>
      </c>
      <c r="H963" s="47"/>
      <c r="I963" s="51"/>
      <c r="J963" s="50"/>
      <c r="K963" s="49"/>
      <c r="L963" s="48" t="str">
        <f>IF(AND(LEN(K963)&gt;0,D963="APPROVED"),VLOOKUP(Table5[[#This Row],[COMPLETION %]],COMPL_STATUS,2,1),"")</f>
        <v/>
      </c>
      <c r="M963" s="47"/>
      <c r="N963" s="47"/>
      <c r="O963" s="46"/>
    </row>
    <row r="964" spans="2:15" s="55" customFormat="1" ht="15">
      <c r="C964" s="54"/>
      <c r="D964" s="54"/>
      <c r="E964" s="53"/>
      <c r="F964" s="53"/>
      <c r="G964" s="52">
        <f>ROUND($C$16*Table5[[#This Row],[Hours]],2)</f>
        <v>0</v>
      </c>
      <c r="H964" s="47"/>
      <c r="I964" s="51"/>
      <c r="J964" s="50"/>
      <c r="K964" s="49"/>
      <c r="L964" s="48" t="str">
        <f>IF(AND(LEN(K964)&gt;0,D964="APPROVED"),VLOOKUP(Table5[[#This Row],[COMPLETION %]],COMPL_STATUS,2,1),"")</f>
        <v/>
      </c>
      <c r="M964" s="47"/>
      <c r="N964" s="47"/>
      <c r="O964" s="46"/>
    </row>
    <row r="965" spans="2:15" s="55" customFormat="1" ht="15">
      <c r="C965" s="54"/>
      <c r="D965" s="54"/>
      <c r="E965" s="53"/>
      <c r="F965" s="53"/>
      <c r="G965" s="52">
        <f>ROUND($C$16*Table5[[#This Row],[Hours]],2)</f>
        <v>0</v>
      </c>
      <c r="H965" s="47"/>
      <c r="I965" s="51"/>
      <c r="J965" s="50"/>
      <c r="K965" s="49"/>
      <c r="L965" s="48" t="str">
        <f>IF(AND(LEN(K965)&gt;0,D965="APPROVED"),VLOOKUP(Table5[[#This Row],[COMPLETION %]],COMPL_STATUS,2,1),"")</f>
        <v/>
      </c>
      <c r="M965" s="47"/>
      <c r="N965" s="47"/>
      <c r="O965" s="46"/>
    </row>
    <row r="966" spans="2:15" ht="15">
      <c r="B966" s="55"/>
      <c r="C966" s="54"/>
      <c r="D966" s="54"/>
      <c r="E966" s="53"/>
      <c r="F966" s="53"/>
      <c r="G966" s="52">
        <f>ROUND($C$16*Table5[[#This Row],[Hours]],2)</f>
        <v>0</v>
      </c>
      <c r="H966" s="47"/>
      <c r="I966" s="51"/>
      <c r="J966" s="50"/>
      <c r="K966" s="49"/>
      <c r="L966" s="48" t="str">
        <f>IF(AND(LEN(K966)&gt;0,D966="APPROVED"),VLOOKUP(Table5[[#This Row],[COMPLETION %]],COMPL_STATUS,2,1),"")</f>
        <v/>
      </c>
      <c r="M966" s="47"/>
      <c r="N966" s="47"/>
      <c r="O966" s="46"/>
    </row>
    <row r="967" spans="2:15" ht="15">
      <c r="B967" s="55"/>
      <c r="C967" s="54"/>
      <c r="D967" s="54"/>
      <c r="E967" s="53"/>
      <c r="F967" s="53"/>
      <c r="G967" s="52">
        <f>ROUND($C$16*Table5[[#This Row],[Hours]],2)</f>
        <v>0</v>
      </c>
      <c r="H967" s="47"/>
      <c r="I967" s="51"/>
      <c r="J967" s="50"/>
      <c r="K967" s="49"/>
      <c r="L967" s="48" t="str">
        <f>IF(AND(LEN(K967)&gt;0,D967="APPROVED"),VLOOKUP(Table5[[#This Row],[COMPLETION %]],COMPL_STATUS,2,1),"")</f>
        <v/>
      </c>
      <c r="M967" s="47"/>
      <c r="N967" s="47"/>
      <c r="O967" s="46"/>
    </row>
    <row r="968" spans="2:15" ht="15">
      <c r="B968" s="55"/>
      <c r="C968" s="54"/>
      <c r="D968" s="54"/>
      <c r="E968" s="53"/>
      <c r="F968" s="53"/>
      <c r="G968" s="52">
        <f>ROUND($C$16*Table5[[#This Row],[Hours]],2)</f>
        <v>0</v>
      </c>
      <c r="H968" s="47"/>
      <c r="I968" s="51"/>
      <c r="J968" s="50"/>
      <c r="K968" s="49"/>
      <c r="L968" s="48" t="str">
        <f>IF(AND(LEN(K968)&gt;0,D968="APPROVED"),VLOOKUP(Table5[[#This Row],[COMPLETION %]],COMPL_STATUS,2,1),"")</f>
        <v/>
      </c>
      <c r="M968" s="47"/>
      <c r="N968" s="47"/>
      <c r="O968" s="46"/>
    </row>
    <row r="969" spans="2:15" ht="15">
      <c r="B969" s="55"/>
      <c r="C969" s="54"/>
      <c r="D969" s="54"/>
      <c r="E969" s="53"/>
      <c r="F969" s="53"/>
      <c r="G969" s="52">
        <f>ROUND($C$16*Table5[[#This Row],[Hours]],2)</f>
        <v>0</v>
      </c>
      <c r="H969" s="47"/>
      <c r="I969" s="51"/>
      <c r="J969" s="50"/>
      <c r="K969" s="49"/>
      <c r="L969" s="48" t="str">
        <f>IF(AND(LEN(K969)&gt;0,D969="APPROVED"),VLOOKUP(Table5[[#This Row],[COMPLETION %]],COMPL_STATUS,2,1),"")</f>
        <v/>
      </c>
      <c r="M969" s="47"/>
      <c r="N969" s="47"/>
      <c r="O969" s="46"/>
    </row>
    <row r="970" spans="2:15" ht="15">
      <c r="B970" s="55"/>
      <c r="C970" s="54"/>
      <c r="D970" s="54"/>
      <c r="E970" s="53"/>
      <c r="F970" s="53"/>
      <c r="G970" s="52">
        <f>ROUND($C$16*Table5[[#This Row],[Hours]],2)</f>
        <v>0</v>
      </c>
      <c r="H970" s="47"/>
      <c r="I970" s="51"/>
      <c r="J970" s="50"/>
      <c r="K970" s="49"/>
      <c r="L970" s="48" t="str">
        <f>IF(AND(LEN(K970)&gt;0,D970="APPROVED"),VLOOKUP(Table5[[#This Row],[COMPLETION %]],COMPL_STATUS,2,1),"")</f>
        <v/>
      </c>
      <c r="M970" s="47"/>
      <c r="N970" s="47"/>
      <c r="O970" s="46"/>
    </row>
    <row r="971" spans="2:15" ht="15">
      <c r="B971" s="55"/>
      <c r="C971" s="54"/>
      <c r="D971" s="54"/>
      <c r="E971" s="53"/>
      <c r="F971" s="53"/>
      <c r="G971" s="52">
        <f>ROUND($C$16*Table5[[#This Row],[Hours]],2)</f>
        <v>0</v>
      </c>
      <c r="H971" s="47"/>
      <c r="I971" s="51"/>
      <c r="J971" s="50"/>
      <c r="K971" s="49"/>
      <c r="L971" s="48" t="str">
        <f>IF(AND(LEN(K971)&gt;0,D971="APPROVED"),VLOOKUP(Table5[[#This Row],[COMPLETION %]],COMPL_STATUS,2,1),"")</f>
        <v/>
      </c>
      <c r="M971" s="47"/>
      <c r="N971" s="47"/>
      <c r="O971" s="46"/>
    </row>
    <row r="972" spans="2:15" ht="15">
      <c r="B972" s="55"/>
      <c r="C972" s="54"/>
      <c r="D972" s="54"/>
      <c r="E972" s="53"/>
      <c r="F972" s="53"/>
      <c r="G972" s="52">
        <f>ROUND($C$16*Table5[[#This Row],[Hours]],2)</f>
        <v>0</v>
      </c>
      <c r="H972" s="47"/>
      <c r="I972" s="51"/>
      <c r="J972" s="50"/>
      <c r="K972" s="49"/>
      <c r="L972" s="48" t="str">
        <f>IF(AND(LEN(K972)&gt;0,D972="APPROVED"),VLOOKUP(Table5[[#This Row],[COMPLETION %]],COMPL_STATUS,2,1),"")</f>
        <v/>
      </c>
      <c r="M972" s="47"/>
      <c r="N972" s="47"/>
      <c r="O972" s="46"/>
    </row>
    <row r="973" spans="2:15" ht="15">
      <c r="B973" s="55"/>
      <c r="C973" s="54"/>
      <c r="D973" s="54"/>
      <c r="E973" s="53"/>
      <c r="F973" s="53"/>
      <c r="G973" s="52">
        <f>ROUND($C$16*Table5[[#This Row],[Hours]],2)</f>
        <v>0</v>
      </c>
      <c r="H973" s="47"/>
      <c r="I973" s="51"/>
      <c r="J973" s="50"/>
      <c r="K973" s="49"/>
      <c r="L973" s="48" t="str">
        <f>IF(AND(LEN(K973)&gt;0,D973="APPROVED"),VLOOKUP(Table5[[#This Row],[COMPLETION %]],COMPL_STATUS,2,1),"")</f>
        <v/>
      </c>
      <c r="M973" s="47"/>
      <c r="N973" s="47"/>
      <c r="O973" s="46"/>
    </row>
    <row r="974" spans="2:15" ht="15">
      <c r="B974" s="55"/>
      <c r="C974" s="54"/>
      <c r="D974" s="54"/>
      <c r="E974" s="53"/>
      <c r="F974" s="53"/>
      <c r="G974" s="52">
        <f>ROUND($C$16*Table5[[#This Row],[Hours]],2)</f>
        <v>0</v>
      </c>
      <c r="H974" s="47"/>
      <c r="I974" s="51"/>
      <c r="J974" s="50"/>
      <c r="K974" s="49"/>
      <c r="L974" s="48" t="str">
        <f>IF(AND(LEN(K974)&gt;0,D974="APPROVED"),VLOOKUP(Table5[[#This Row],[COMPLETION %]],COMPL_STATUS,2,1),"")</f>
        <v/>
      </c>
      <c r="M974" s="47"/>
      <c r="N974" s="47"/>
      <c r="O974" s="46"/>
    </row>
    <row r="975" spans="2:15" ht="15">
      <c r="B975" s="55"/>
      <c r="C975" s="54"/>
      <c r="D975" s="54"/>
      <c r="E975" s="53"/>
      <c r="F975" s="53"/>
      <c r="G975" s="52">
        <f>ROUND($C$16*Table5[[#This Row],[Hours]],2)</f>
        <v>0</v>
      </c>
      <c r="H975" s="47"/>
      <c r="I975" s="51"/>
      <c r="J975" s="50"/>
      <c r="K975" s="49"/>
      <c r="L975" s="48" t="str">
        <f>IF(AND(LEN(K975)&gt;0,D975="APPROVED"),VLOOKUP(Table5[[#This Row],[COMPLETION %]],COMPL_STATUS,2,1),"")</f>
        <v/>
      </c>
      <c r="M975" s="47"/>
      <c r="N975" s="47"/>
      <c r="O975" s="46"/>
    </row>
    <row r="976" spans="2:15" ht="15">
      <c r="B976" s="55"/>
      <c r="C976" s="54"/>
      <c r="D976" s="54"/>
      <c r="E976" s="53"/>
      <c r="F976" s="53"/>
      <c r="G976" s="52">
        <f>ROUND($C$16*Table5[[#This Row],[Hours]],2)</f>
        <v>0</v>
      </c>
      <c r="H976" s="47"/>
      <c r="I976" s="51"/>
      <c r="J976" s="50"/>
      <c r="K976" s="49"/>
      <c r="L976" s="48" t="str">
        <f>IF(AND(LEN(K976)&gt;0,D976="APPROVED"),VLOOKUP(Table5[[#This Row],[COMPLETION %]],COMPL_STATUS,2,1),"")</f>
        <v/>
      </c>
      <c r="M976" s="47"/>
      <c r="N976" s="47"/>
      <c r="O976" s="46"/>
    </row>
    <row r="977" spans="2:15" ht="15">
      <c r="B977" s="55"/>
      <c r="C977" s="54"/>
      <c r="D977" s="54"/>
      <c r="E977" s="53"/>
      <c r="F977" s="53"/>
      <c r="G977" s="52">
        <f>ROUND($C$16*Table5[[#This Row],[Hours]],2)</f>
        <v>0</v>
      </c>
      <c r="H977" s="47"/>
      <c r="I977" s="51"/>
      <c r="J977" s="50"/>
      <c r="K977" s="49"/>
      <c r="L977" s="48" t="str">
        <f>IF(AND(LEN(K977)&gt;0,D977="APPROVED"),VLOOKUP(Table5[[#This Row],[COMPLETION %]],COMPL_STATUS,2,1),"")</f>
        <v/>
      </c>
      <c r="M977" s="47"/>
      <c r="N977" s="47"/>
      <c r="O977" s="46"/>
    </row>
    <row r="978" spans="2:15" ht="15">
      <c r="B978" s="55"/>
      <c r="C978" s="54"/>
      <c r="D978" s="54"/>
      <c r="E978" s="53"/>
      <c r="F978" s="53"/>
      <c r="G978" s="52">
        <f>ROUND($C$16*Table5[[#This Row],[Hours]],2)</f>
        <v>0</v>
      </c>
      <c r="H978" s="47"/>
      <c r="I978" s="51"/>
      <c r="J978" s="50"/>
      <c r="K978" s="49"/>
      <c r="L978" s="48" t="str">
        <f>IF(AND(LEN(K978)&gt;0,D978="APPROVED"),VLOOKUP(Table5[[#This Row],[COMPLETION %]],COMPL_STATUS,2,1),"")</f>
        <v/>
      </c>
      <c r="M978" s="47"/>
      <c r="N978" s="47"/>
      <c r="O978" s="46"/>
    </row>
    <row r="979" spans="2:15" ht="15">
      <c r="B979" s="55"/>
      <c r="C979" s="54"/>
      <c r="D979" s="54"/>
      <c r="E979" s="53"/>
      <c r="F979" s="53"/>
      <c r="G979" s="52">
        <f>ROUND($C$16*Table5[[#This Row],[Hours]],2)</f>
        <v>0</v>
      </c>
      <c r="H979" s="47"/>
      <c r="I979" s="51"/>
      <c r="J979" s="50"/>
      <c r="K979" s="49"/>
      <c r="L979" s="48" t="str">
        <f>IF(AND(LEN(K979)&gt;0,D979="APPROVED"),VLOOKUP(Table5[[#This Row],[COMPLETION %]],COMPL_STATUS,2,1),"")</f>
        <v/>
      </c>
      <c r="M979" s="47"/>
      <c r="N979" s="47"/>
      <c r="O979" s="46"/>
    </row>
    <row r="980" spans="2:15" ht="15">
      <c r="B980" s="55"/>
      <c r="C980" s="54"/>
      <c r="D980" s="54"/>
      <c r="E980" s="53"/>
      <c r="F980" s="53"/>
      <c r="G980" s="52">
        <f>ROUND($C$16*Table5[[#This Row],[Hours]],2)</f>
        <v>0</v>
      </c>
      <c r="H980" s="47"/>
      <c r="I980" s="51"/>
      <c r="J980" s="50"/>
      <c r="K980" s="49"/>
      <c r="L980" s="48" t="str">
        <f>IF(AND(LEN(K980)&gt;0,D980="APPROVED"),VLOOKUP(Table5[[#This Row],[COMPLETION %]],COMPL_STATUS,2,1),"")</f>
        <v/>
      </c>
      <c r="M980" s="47"/>
      <c r="N980" s="47"/>
      <c r="O980" s="46"/>
    </row>
    <row r="981" spans="2:15" ht="15">
      <c r="B981" s="55"/>
      <c r="C981" s="54"/>
      <c r="D981" s="54"/>
      <c r="E981" s="53"/>
      <c r="F981" s="53"/>
      <c r="G981" s="52">
        <f>ROUND($C$16*Table5[[#This Row],[Hours]],2)</f>
        <v>0</v>
      </c>
      <c r="H981" s="47"/>
      <c r="I981" s="51"/>
      <c r="J981" s="50"/>
      <c r="K981" s="49"/>
      <c r="L981" s="48" t="str">
        <f>IF(AND(LEN(K981)&gt;0,D981="APPROVED"),VLOOKUP(Table5[[#This Row],[COMPLETION %]],COMPL_STATUS,2,1),"")</f>
        <v/>
      </c>
      <c r="M981" s="47"/>
      <c r="N981" s="47"/>
      <c r="O981" s="46"/>
    </row>
    <row r="982" spans="2:15" ht="15">
      <c r="B982" s="55"/>
      <c r="C982" s="54"/>
      <c r="D982" s="54"/>
      <c r="E982" s="53"/>
      <c r="F982" s="53"/>
      <c r="G982" s="52">
        <f>ROUND($C$16*Table5[[#This Row],[Hours]],2)</f>
        <v>0</v>
      </c>
      <c r="H982" s="47"/>
      <c r="I982" s="51"/>
      <c r="J982" s="50"/>
      <c r="K982" s="49"/>
      <c r="L982" s="48" t="str">
        <f>IF(AND(LEN(K982)&gt;0,D982="APPROVED"),VLOOKUP(Table5[[#This Row],[COMPLETION %]],COMPL_STATUS,2,1),"")</f>
        <v/>
      </c>
      <c r="M982" s="47"/>
      <c r="N982" s="47"/>
      <c r="O982" s="46"/>
    </row>
    <row r="983" spans="2:15" ht="15">
      <c r="B983" s="55"/>
      <c r="C983" s="54"/>
      <c r="D983" s="54"/>
      <c r="E983" s="53"/>
      <c r="F983" s="53"/>
      <c r="G983" s="52">
        <f>ROUND($C$16*Table5[[#This Row],[Hours]],2)</f>
        <v>0</v>
      </c>
      <c r="H983" s="47"/>
      <c r="I983" s="51"/>
      <c r="J983" s="50"/>
      <c r="K983" s="49"/>
      <c r="L983" s="48" t="str">
        <f>IF(AND(LEN(K983)&gt;0,D983="APPROVED"),VLOOKUP(Table5[[#This Row],[COMPLETION %]],COMPL_STATUS,2,1),"")</f>
        <v/>
      </c>
      <c r="M983" s="47"/>
      <c r="N983" s="47"/>
      <c r="O983" s="46"/>
    </row>
    <row r="984" spans="2:15" ht="15">
      <c r="B984" s="55"/>
      <c r="C984" s="54"/>
      <c r="D984" s="54"/>
      <c r="E984" s="53"/>
      <c r="F984" s="53"/>
      <c r="G984" s="52">
        <f>ROUND($C$16*Table5[[#This Row],[Hours]],2)</f>
        <v>0</v>
      </c>
      <c r="H984" s="47"/>
      <c r="I984" s="51"/>
      <c r="J984" s="50"/>
      <c r="K984" s="49"/>
      <c r="L984" s="48" t="str">
        <f>IF(AND(LEN(K984)&gt;0,D984="APPROVED"),VLOOKUP(Table5[[#This Row],[COMPLETION %]],COMPL_STATUS,2,1),"")</f>
        <v/>
      </c>
      <c r="M984" s="47"/>
      <c r="N984" s="47"/>
      <c r="O984" s="46"/>
    </row>
    <row r="985" spans="2:15" ht="15">
      <c r="B985" s="55"/>
      <c r="C985" s="54"/>
      <c r="D985" s="54"/>
      <c r="E985" s="53"/>
      <c r="F985" s="53"/>
      <c r="G985" s="52">
        <f>ROUND($C$16*Table5[[#This Row],[Hours]],2)</f>
        <v>0</v>
      </c>
      <c r="H985" s="47"/>
      <c r="I985" s="51"/>
      <c r="J985" s="50"/>
      <c r="K985" s="49"/>
      <c r="L985" s="48" t="str">
        <f>IF(AND(LEN(K985)&gt;0,D985="APPROVED"),VLOOKUP(Table5[[#This Row],[COMPLETION %]],COMPL_STATUS,2,1),"")</f>
        <v/>
      </c>
      <c r="M985" s="47"/>
      <c r="N985" s="47"/>
      <c r="O985" s="46"/>
    </row>
    <row r="986" spans="2:15" ht="15">
      <c r="B986" s="55"/>
      <c r="C986" s="54"/>
      <c r="D986" s="54"/>
      <c r="E986" s="53"/>
      <c r="F986" s="53"/>
      <c r="G986" s="52">
        <f>ROUND($C$16*Table5[[#This Row],[Hours]],2)</f>
        <v>0</v>
      </c>
      <c r="H986" s="47"/>
      <c r="I986" s="51"/>
      <c r="J986" s="50"/>
      <c r="K986" s="49"/>
      <c r="L986" s="48" t="str">
        <f>IF(AND(LEN(K986)&gt;0,D986="APPROVED"),VLOOKUP(Table5[[#This Row],[COMPLETION %]],COMPL_STATUS,2,1),"")</f>
        <v/>
      </c>
      <c r="M986" s="47"/>
      <c r="N986" s="47"/>
      <c r="O986" s="46"/>
    </row>
    <row r="987" spans="2:15" ht="15">
      <c r="B987" s="55"/>
      <c r="C987" s="54"/>
      <c r="D987" s="54"/>
      <c r="E987" s="53"/>
      <c r="F987" s="53"/>
      <c r="G987" s="52">
        <f>ROUND($C$16*Table5[[#This Row],[Hours]],2)</f>
        <v>0</v>
      </c>
      <c r="H987" s="47"/>
      <c r="I987" s="51"/>
      <c r="J987" s="50"/>
      <c r="K987" s="49"/>
      <c r="L987" s="48" t="str">
        <f>IF(AND(LEN(K987)&gt;0,D987="APPROVED"),VLOOKUP(Table5[[#This Row],[COMPLETION %]],COMPL_STATUS,2,1),"")</f>
        <v/>
      </c>
      <c r="M987" s="47"/>
      <c r="N987" s="47"/>
      <c r="O987" s="46"/>
    </row>
    <row r="988" spans="2:15" ht="15">
      <c r="B988" s="55"/>
      <c r="C988" s="54"/>
      <c r="D988" s="54"/>
      <c r="E988" s="53"/>
      <c r="F988" s="53"/>
      <c r="G988" s="52">
        <f>ROUND($C$16*Table5[[#This Row],[Hours]],2)</f>
        <v>0</v>
      </c>
      <c r="H988" s="47"/>
      <c r="I988" s="51"/>
      <c r="J988" s="50"/>
      <c r="K988" s="49"/>
      <c r="L988" s="48" t="str">
        <f>IF(AND(LEN(K988)&gt;0,D988="APPROVED"),VLOOKUP(Table5[[#This Row],[COMPLETION %]],COMPL_STATUS,2,1),"")</f>
        <v/>
      </c>
      <c r="M988" s="47"/>
      <c r="N988" s="47"/>
      <c r="O988" s="46"/>
    </row>
    <row r="989" spans="2:15" ht="15">
      <c r="B989" s="55"/>
      <c r="C989" s="54"/>
      <c r="D989" s="54"/>
      <c r="E989" s="53"/>
      <c r="F989" s="53"/>
      <c r="G989" s="52">
        <f>ROUND($C$16*Table5[[#This Row],[Hours]],2)</f>
        <v>0</v>
      </c>
      <c r="H989" s="47"/>
      <c r="I989" s="51"/>
      <c r="J989" s="50"/>
      <c r="K989" s="49"/>
      <c r="L989" s="48" t="str">
        <f>IF(AND(LEN(K989)&gt;0,D989="APPROVED"),VLOOKUP(Table5[[#This Row],[COMPLETION %]],COMPL_STATUS,2,1),"")</f>
        <v/>
      </c>
      <c r="M989" s="47"/>
      <c r="N989" s="47"/>
      <c r="O989" s="46"/>
    </row>
    <row r="990" spans="2:15" ht="15">
      <c r="B990" s="55"/>
      <c r="C990" s="54"/>
      <c r="D990" s="54"/>
      <c r="E990" s="53"/>
      <c r="F990" s="53"/>
      <c r="G990" s="52">
        <f>ROUND($C$16*Table5[[#This Row],[Hours]],2)</f>
        <v>0</v>
      </c>
      <c r="H990" s="47"/>
      <c r="I990" s="51"/>
      <c r="J990" s="50"/>
      <c r="K990" s="49"/>
      <c r="L990" s="48" t="str">
        <f>IF(AND(LEN(K990)&gt;0,D990="APPROVED"),VLOOKUP(Table5[[#This Row],[COMPLETION %]],COMPL_STATUS,2,1),"")</f>
        <v/>
      </c>
      <c r="M990" s="47"/>
      <c r="N990" s="47"/>
      <c r="O990" s="46"/>
    </row>
    <row r="991" spans="2:15" ht="15">
      <c r="B991" s="55"/>
      <c r="C991" s="54"/>
      <c r="D991" s="54"/>
      <c r="E991" s="53"/>
      <c r="F991" s="53"/>
      <c r="G991" s="52">
        <f>ROUND($C$16*Table5[[#This Row],[Hours]],2)</f>
        <v>0</v>
      </c>
      <c r="H991" s="47"/>
      <c r="I991" s="51"/>
      <c r="J991" s="50"/>
      <c r="K991" s="49"/>
      <c r="L991" s="48" t="str">
        <f>IF(AND(LEN(K991)&gt;0,D991="APPROVED"),VLOOKUP(Table5[[#This Row],[COMPLETION %]],COMPL_STATUS,2,1),"")</f>
        <v/>
      </c>
      <c r="M991" s="47"/>
      <c r="N991" s="47"/>
      <c r="O991" s="46"/>
    </row>
    <row r="992" spans="2:15" ht="15">
      <c r="B992" s="55"/>
      <c r="C992" s="54"/>
      <c r="D992" s="54"/>
      <c r="E992" s="53"/>
      <c r="F992" s="53"/>
      <c r="G992" s="52">
        <f>ROUND($C$16*Table5[[#This Row],[Hours]],2)</f>
        <v>0</v>
      </c>
      <c r="H992" s="47"/>
      <c r="I992" s="51"/>
      <c r="J992" s="50"/>
      <c r="K992" s="49"/>
      <c r="L992" s="48" t="str">
        <f>IF(AND(LEN(K992)&gt;0,D992="APPROVED"),VLOOKUP(Table5[[#This Row],[COMPLETION %]],COMPL_STATUS,2,1),"")</f>
        <v/>
      </c>
      <c r="M992" s="47"/>
      <c r="N992" s="47"/>
      <c r="O992" s="46"/>
    </row>
    <row r="993" spans="2:15" ht="15">
      <c r="B993" s="55"/>
      <c r="C993" s="54"/>
      <c r="D993" s="54"/>
      <c r="E993" s="53"/>
      <c r="F993" s="53"/>
      <c r="G993" s="52">
        <f>ROUND($C$16*Table5[[#This Row],[Hours]],2)</f>
        <v>0</v>
      </c>
      <c r="H993" s="47"/>
      <c r="I993" s="51"/>
      <c r="J993" s="50"/>
      <c r="K993" s="49"/>
      <c r="L993" s="48" t="str">
        <f>IF(AND(LEN(K993)&gt;0,D993="APPROVED"),VLOOKUP(Table5[[#This Row],[COMPLETION %]],COMPL_STATUS,2,1),"")</f>
        <v/>
      </c>
      <c r="M993" s="47"/>
      <c r="N993" s="47"/>
      <c r="O993" s="46"/>
    </row>
    <row r="994" spans="2:15" ht="15">
      <c r="B994" s="55"/>
      <c r="C994" s="54"/>
      <c r="D994" s="54"/>
      <c r="E994" s="53"/>
      <c r="F994" s="53"/>
      <c r="G994" s="52">
        <f>ROUND($C$16*Table5[[#This Row],[Hours]],2)</f>
        <v>0</v>
      </c>
      <c r="H994" s="47"/>
      <c r="I994" s="51"/>
      <c r="J994" s="50"/>
      <c r="K994" s="49"/>
      <c r="L994" s="48" t="str">
        <f>IF(AND(LEN(K994)&gt;0,D994="APPROVED"),VLOOKUP(Table5[[#This Row],[COMPLETION %]],COMPL_STATUS,2,1),"")</f>
        <v/>
      </c>
      <c r="M994" s="47"/>
      <c r="N994" s="47"/>
      <c r="O994" s="46"/>
    </row>
    <row r="995" spans="2:15" ht="15">
      <c r="B995" s="55"/>
      <c r="C995" s="54"/>
      <c r="D995" s="54"/>
      <c r="E995" s="53"/>
      <c r="F995" s="53"/>
      <c r="G995" s="52">
        <f>ROUND($C$16*Table5[[#This Row],[Hours]],2)</f>
        <v>0</v>
      </c>
      <c r="H995" s="47"/>
      <c r="I995" s="51"/>
      <c r="J995" s="50"/>
      <c r="K995" s="49"/>
      <c r="L995" s="48" t="str">
        <f>IF(AND(LEN(K995)&gt;0,D995="APPROVED"),VLOOKUP(Table5[[#This Row],[COMPLETION %]],COMPL_STATUS,2,1),"")</f>
        <v/>
      </c>
      <c r="M995" s="47"/>
      <c r="N995" s="47"/>
      <c r="O995" s="46"/>
    </row>
    <row r="996" spans="2:15" ht="15">
      <c r="B996" s="55"/>
      <c r="C996" s="54"/>
      <c r="D996" s="54"/>
      <c r="E996" s="53"/>
      <c r="F996" s="53"/>
      <c r="G996" s="52">
        <f>ROUND($C$16*Table5[[#This Row],[Hours]],2)</f>
        <v>0</v>
      </c>
      <c r="H996" s="47"/>
      <c r="I996" s="51"/>
      <c r="J996" s="50"/>
      <c r="K996" s="49"/>
      <c r="L996" s="48" t="str">
        <f>IF(AND(LEN(K996)&gt;0,D996="APPROVED"),VLOOKUP(Table5[[#This Row],[COMPLETION %]],COMPL_STATUS,2,1),"")</f>
        <v/>
      </c>
      <c r="M996" s="47"/>
      <c r="N996" s="47"/>
      <c r="O996" s="46"/>
    </row>
    <row r="997" spans="2:15" ht="15">
      <c r="B997" s="55"/>
      <c r="C997" s="54"/>
      <c r="D997" s="54"/>
      <c r="E997" s="53"/>
      <c r="F997" s="53"/>
      <c r="G997" s="52">
        <f>ROUND($C$16*Table5[[#This Row],[Hours]],2)</f>
        <v>0</v>
      </c>
      <c r="H997" s="47"/>
      <c r="I997" s="51"/>
      <c r="J997" s="50"/>
      <c r="K997" s="49"/>
      <c r="L997" s="48" t="str">
        <f>IF(AND(LEN(K997)&gt;0,D997="APPROVED"),VLOOKUP(Table5[[#This Row],[COMPLETION %]],COMPL_STATUS,2,1),"")</f>
        <v/>
      </c>
      <c r="M997" s="47"/>
      <c r="N997" s="47"/>
      <c r="O997" s="46"/>
    </row>
    <row r="998" spans="2:15" ht="15">
      <c r="B998" s="55"/>
      <c r="C998" s="54"/>
      <c r="D998" s="54"/>
      <c r="E998" s="53"/>
      <c r="F998" s="53"/>
      <c r="G998" s="52">
        <f>ROUND($C$16*Table5[[#This Row],[Hours]],2)</f>
        <v>0</v>
      </c>
      <c r="H998" s="47"/>
      <c r="I998" s="51"/>
      <c r="J998" s="50"/>
      <c r="K998" s="49"/>
      <c r="L998" s="48" t="str">
        <f>IF(AND(LEN(K998)&gt;0,D998="APPROVED"),VLOOKUP(Table5[[#This Row],[COMPLETION %]],COMPL_STATUS,2,1),"")</f>
        <v/>
      </c>
      <c r="M998" s="47"/>
      <c r="N998" s="47"/>
      <c r="O998" s="46"/>
    </row>
    <row r="999" spans="2:15" ht="15">
      <c r="B999" s="55"/>
      <c r="C999" s="54"/>
      <c r="D999" s="54"/>
      <c r="E999" s="53"/>
      <c r="F999" s="53"/>
      <c r="G999" s="52">
        <f>ROUND($C$16*Table5[[#This Row],[Hours]],2)</f>
        <v>0</v>
      </c>
      <c r="H999" s="47"/>
      <c r="I999" s="51"/>
      <c r="J999" s="50"/>
      <c r="K999" s="49"/>
      <c r="L999" s="48" t="str">
        <f>IF(AND(LEN(K999)&gt;0,D999="APPROVED"),VLOOKUP(Table5[[#This Row],[COMPLETION %]],COMPL_STATUS,2,1),"")</f>
        <v/>
      </c>
      <c r="M999" s="47"/>
      <c r="N999" s="47"/>
      <c r="O999" s="46"/>
    </row>
    <row r="1000" spans="2:15" ht="15">
      <c r="B1000" s="55"/>
      <c r="C1000" s="54"/>
      <c r="D1000" s="54"/>
      <c r="E1000" s="53"/>
      <c r="F1000" s="53"/>
      <c r="G1000" s="52">
        <f>ROUND($C$16*Table5[[#This Row],[Hours]],2)</f>
        <v>0</v>
      </c>
      <c r="H1000" s="47"/>
      <c r="I1000" s="51"/>
      <c r="J1000" s="50"/>
      <c r="K1000" s="49"/>
      <c r="L1000" s="48" t="str">
        <f>IF(AND(LEN(K1000)&gt;0,D1000="APPROVED"),VLOOKUP(Table5[[#This Row],[COMPLETION %]],COMPL_STATUS,2,1),"")</f>
        <v/>
      </c>
      <c r="M1000" s="47"/>
      <c r="N1000" s="47"/>
      <c r="O1000" s="46"/>
    </row>
    <row r="1001" spans="2:15" ht="15">
      <c r="B1001" s="55"/>
      <c r="C1001" s="54"/>
      <c r="D1001" s="54"/>
      <c r="E1001" s="53"/>
      <c r="F1001" s="53"/>
      <c r="G1001" s="52">
        <f>ROUND($C$16*Table5[[#This Row],[Hours]],2)</f>
        <v>0</v>
      </c>
      <c r="H1001" s="47"/>
      <c r="I1001" s="51"/>
      <c r="J1001" s="50"/>
      <c r="K1001" s="49"/>
      <c r="L1001" s="48" t="str">
        <f>IF(AND(LEN(K1001)&gt;0,D1001="APPROVED"),VLOOKUP(Table5[[#This Row],[COMPLETION %]],COMPL_STATUS,2,1),"")</f>
        <v/>
      </c>
      <c r="M1001" s="47"/>
      <c r="N1001" s="47"/>
      <c r="O1001" s="46"/>
    </row>
    <row r="1002" spans="2:15" ht="15">
      <c r="B1002" s="55"/>
      <c r="C1002" s="54"/>
      <c r="D1002" s="54"/>
      <c r="E1002" s="53"/>
      <c r="F1002" s="53"/>
      <c r="G1002" s="52">
        <f>ROUND($C$16*Table5[[#This Row],[Hours]],2)</f>
        <v>0</v>
      </c>
      <c r="H1002" s="47"/>
      <c r="I1002" s="51"/>
      <c r="J1002" s="50"/>
      <c r="K1002" s="49"/>
      <c r="L1002" s="48" t="str">
        <f>IF(AND(LEN(K1002)&gt;0,D1002="APPROVED"),VLOOKUP(Table5[[#This Row],[COMPLETION %]],COMPL_STATUS,2,1),"")</f>
        <v/>
      </c>
      <c r="M1002" s="47"/>
      <c r="N1002" s="47"/>
      <c r="O1002" s="46"/>
    </row>
    <row r="1003" spans="2:15" ht="15">
      <c r="B1003" s="55"/>
      <c r="C1003" s="54"/>
      <c r="D1003" s="54"/>
      <c r="E1003" s="53"/>
      <c r="F1003" s="53"/>
      <c r="G1003" s="52">
        <f>ROUND($C$16*Table5[[#This Row],[Hours]],2)</f>
        <v>0</v>
      </c>
      <c r="H1003" s="47"/>
      <c r="I1003" s="51"/>
      <c r="J1003" s="50"/>
      <c r="K1003" s="49"/>
      <c r="L1003" s="48" t="str">
        <f>IF(AND(LEN(K1003)&gt;0,D1003="APPROVED"),VLOOKUP(Table5[[#This Row],[COMPLETION %]],COMPL_STATUS,2,1),"")</f>
        <v/>
      </c>
      <c r="M1003" s="47"/>
      <c r="N1003" s="47"/>
      <c r="O1003" s="46"/>
    </row>
    <row r="1004" spans="2:15" ht="15">
      <c r="B1004" s="55"/>
      <c r="C1004" s="54"/>
      <c r="D1004" s="54"/>
      <c r="E1004" s="53"/>
      <c r="F1004" s="53"/>
      <c r="G1004" s="52">
        <f>ROUND($C$16*Table5[[#This Row],[Hours]],2)</f>
        <v>0</v>
      </c>
      <c r="H1004" s="47"/>
      <c r="I1004" s="51"/>
      <c r="J1004" s="50"/>
      <c r="K1004" s="49"/>
      <c r="L1004" s="48" t="str">
        <f>IF(AND(LEN(K1004)&gt;0,D1004="APPROVED"),VLOOKUP(Table5[[#This Row],[COMPLETION %]],COMPL_STATUS,2,1),"")</f>
        <v/>
      </c>
      <c r="M1004" s="47"/>
      <c r="N1004" s="47"/>
      <c r="O1004" s="46"/>
    </row>
    <row r="1005" spans="2:15" ht="15">
      <c r="B1005" s="55"/>
      <c r="C1005" s="54"/>
      <c r="D1005" s="54"/>
      <c r="E1005" s="53"/>
      <c r="F1005" s="53"/>
      <c r="G1005" s="52">
        <f>ROUND($C$16*Table5[[#This Row],[Hours]],2)</f>
        <v>0</v>
      </c>
      <c r="H1005" s="47"/>
      <c r="I1005" s="51"/>
      <c r="J1005" s="50"/>
      <c r="K1005" s="49"/>
      <c r="L1005" s="48" t="str">
        <f>IF(AND(LEN(K1005)&gt;0,D1005="APPROVED"),VLOOKUP(Table5[[#This Row],[COMPLETION %]],COMPL_STATUS,2,1),"")</f>
        <v/>
      </c>
      <c r="M1005" s="47"/>
      <c r="N1005" s="47"/>
      <c r="O1005" s="46"/>
    </row>
  </sheetData>
  <sheetProtection deleteRows="0" sort="0" autoFilter="0" pivotTables="0"/>
  <conditionalFormatting sqref="B28:D35 G28:H35 J31:J35">
    <cfRule type="expression" dxfId="34" priority="42">
      <formula>$B28="Business demo"</formula>
    </cfRule>
  </conditionalFormatting>
  <conditionalFormatting sqref="B27:O27 G19:O19 B19:D25 J20:L21 N20:O21 E20:E25 G20:I25 J22:O25 B26:E26 G26:O26 E28:E30 J28:O30 I28:I35 K31:O36 E32:E35 B36:J36 B37:O39 B40:D47 J40:O47 E40:F48 I40:I48 B49:O1005">
    <cfRule type="expression" dxfId="33" priority="106">
      <formula>$B19="Business demo"</formula>
    </cfRule>
  </conditionalFormatting>
  <conditionalFormatting sqref="C48:D48 J48 L48">
    <cfRule type="expression" dxfId="26" priority="23">
      <formula>$B48="Business demo"</formula>
    </cfRule>
  </conditionalFormatting>
  <conditionalFormatting sqref="D10:D11">
    <cfRule type="dataBar" priority="111">
      <dataBar>
        <cfvo type="num" val="0"/>
        <cfvo type="num" val="1"/>
        <color rgb="FFBDEF88"/>
      </dataBar>
      <extLst>
        <ext xmlns:x14="http://schemas.microsoft.com/office/spreadsheetml/2009/9/main" uri="{B025F937-C7B1-47D3-B67F-A62EFF666E3E}">
          <x14:id>{EB54175F-F427-4CAF-8340-9B0085FF15FA}</x14:id>
        </ext>
      </extLst>
    </cfRule>
  </conditionalFormatting>
  <conditionalFormatting sqref="D12">
    <cfRule type="dataBar" priority="109">
      <dataBar>
        <cfvo type="num" val="0"/>
        <cfvo type="num" val="1"/>
        <color rgb="FFBDEF88"/>
      </dataBar>
      <extLst>
        <ext xmlns:x14="http://schemas.microsoft.com/office/spreadsheetml/2009/9/main" uri="{B025F937-C7B1-47D3-B67F-A62EFF666E3E}">
          <x14:id>{A17DBFB5-066A-41F9-AE65-0B451ED723A5}</x14:id>
        </ext>
      </extLst>
    </cfRule>
  </conditionalFormatting>
  <conditionalFormatting sqref="D14">
    <cfRule type="dataBar" priority="112">
      <dataBar>
        <cfvo type="num" val="0"/>
        <cfvo type="num" val="1"/>
        <color rgb="FFFF7F82"/>
      </dataBar>
      <extLst>
        <ext xmlns:x14="http://schemas.microsoft.com/office/spreadsheetml/2009/9/main" uri="{B025F937-C7B1-47D3-B67F-A62EFF666E3E}">
          <x14:id>{E915DD26-2011-4FD5-BD23-16741F483A7C}</x14:id>
        </ext>
      </extLst>
    </cfRule>
  </conditionalFormatting>
  <conditionalFormatting sqref="E31">
    <cfRule type="expression" dxfId="23" priority="13">
      <formula>$B30="Business demo"</formula>
    </cfRule>
  </conditionalFormatting>
  <conditionalFormatting sqref="E19:F19">
    <cfRule type="expression" dxfId="22" priority="104">
      <formula>$B19="Business demo"</formula>
    </cfRule>
  </conditionalFormatting>
  <conditionalFormatting sqref="F15 D15">
    <cfRule type="dataBar" priority="110">
      <dataBar>
        <cfvo type="num" val="0"/>
        <cfvo type="num" val="1"/>
        <color rgb="FFFFE07F"/>
      </dataBar>
      <extLst>
        <ext xmlns:x14="http://schemas.microsoft.com/office/spreadsheetml/2009/9/main" uri="{B025F937-C7B1-47D3-B67F-A62EFF666E3E}">
          <x14:id>{E144B338-5489-401F-9271-29FEFA9DC7FB}</x14:id>
        </ext>
      </extLst>
    </cfRule>
  </conditionalFormatting>
  <conditionalFormatting sqref="F20 F23:F26 F29:F30 F32:F35">
    <cfRule type="expression" dxfId="21" priority="105">
      <formula>$B19="Business demo"</formula>
    </cfRule>
  </conditionalFormatting>
  <conditionalFormatting sqref="F21">
    <cfRule type="expression" dxfId="20" priority="19">
      <formula>$B21="Business demo"</formula>
    </cfRule>
  </conditionalFormatting>
  <conditionalFormatting sqref="F22">
    <cfRule type="expression" dxfId="19" priority="131">
      <formula>$B20="Business demo"</formula>
    </cfRule>
  </conditionalFormatting>
  <conditionalFormatting sqref="F28 F31">
    <cfRule type="expression" dxfId="18" priority="147">
      <formula>#REF!="Business demo"</formula>
    </cfRule>
  </conditionalFormatting>
  <conditionalFormatting sqref="G10:G11">
    <cfRule type="dataBar" priority="108">
      <dataBar>
        <cfvo type="num" val="0"/>
        <cfvo type="num" val="1"/>
        <color rgb="FFBDEF88"/>
      </dataBar>
      <extLst>
        <ext xmlns:x14="http://schemas.microsoft.com/office/spreadsheetml/2009/9/main" uri="{B025F937-C7B1-47D3-B67F-A62EFF666E3E}">
          <x14:id>{2C301432-3F4C-41AB-A8AA-A165314686BF}</x14:id>
        </ext>
      </extLst>
    </cfRule>
  </conditionalFormatting>
  <conditionalFormatting sqref="G12">
    <cfRule type="dataBar" priority="107">
      <dataBar>
        <cfvo type="num" val="0"/>
        <cfvo type="num" val="1"/>
        <color rgb="FFBDEF88"/>
      </dataBar>
      <extLst>
        <ext xmlns:x14="http://schemas.microsoft.com/office/spreadsheetml/2009/9/main" uri="{B025F937-C7B1-47D3-B67F-A62EFF666E3E}">
          <x14:id>{F40F9CB5-75A1-4095-8EFF-2DE50DA1D8E2}</x14:id>
        </ext>
      </extLst>
    </cfRule>
  </conditionalFormatting>
  <conditionalFormatting sqref="G40:H48 B48 K48 M48:O48">
    <cfRule type="expression" dxfId="17" priority="20">
      <formula>$B40="Business demo"</formula>
    </cfRule>
  </conditionalFormatting>
  <conditionalFormatting sqref="J19:J33 J36:J47 J49:J1005 I1006:I1048576">
    <cfRule type="cellIs" dxfId="16" priority="116" stopIfTrue="1" operator="equal">
      <formula>BLOCKER</formula>
    </cfRule>
    <cfRule type="cellIs" dxfId="15" priority="117" stopIfTrue="1" operator="equal">
      <formula>MAJOR</formula>
    </cfRule>
    <cfRule type="cellIs" dxfId="14" priority="118" stopIfTrue="1" operator="equal">
      <formula>MINOR</formula>
    </cfRule>
  </conditionalFormatting>
  <conditionalFormatting sqref="J27">
    <cfRule type="cellIs" dxfId="13" priority="10" stopIfTrue="1" operator="equal">
      <formula>MINOR</formula>
    </cfRule>
    <cfRule type="cellIs" dxfId="12" priority="9" stopIfTrue="1" operator="equal">
      <formula>MAJOR</formula>
    </cfRule>
    <cfRule type="cellIs" dxfId="11" priority="8" stopIfTrue="1" operator="equal">
      <formula>BLOCKER</formula>
    </cfRule>
  </conditionalFormatting>
  <conditionalFormatting sqref="J34:J35">
    <cfRule type="cellIs" dxfId="10" priority="45" stopIfTrue="1" operator="equal">
      <formula>BLOCKER</formula>
    </cfRule>
    <cfRule type="cellIs" dxfId="9" priority="46" stopIfTrue="1" operator="equal">
      <formula>MAJOR</formula>
    </cfRule>
    <cfRule type="cellIs" dxfId="8" priority="47" stopIfTrue="1" operator="equal">
      <formula>MINOR</formula>
    </cfRule>
  </conditionalFormatting>
  <conditionalFormatting sqref="J48">
    <cfRule type="cellIs" dxfId="7" priority="29" stopIfTrue="1" operator="equal">
      <formula>MINOR</formula>
    </cfRule>
    <cfRule type="cellIs" dxfId="6" priority="28" stopIfTrue="1" operator="equal">
      <formula>MAJOR</formula>
    </cfRule>
    <cfRule type="cellIs" dxfId="5" priority="27" stopIfTrue="1" operator="equal">
      <formula>BLOCKER</formula>
    </cfRule>
  </conditionalFormatting>
  <dataValidations count="6">
    <dataValidation type="whole" allowBlank="1" showInputMessage="1" showErrorMessage="1" sqref="C1006:F1048576" xr:uid="{00000000-0002-0000-0200-000000000000}">
      <formula1>0</formula1>
      <formula2>999</formula2>
    </dataValidation>
    <dataValidation type="list" allowBlank="1" showInputMessage="1" showErrorMessage="1" sqref="I1006:I1048576 J19:J1005" xr:uid="{00000000-0002-0000-0200-000001000000}">
      <formula1>PRIORITIES</formula1>
    </dataValidation>
    <dataValidation type="list" allowBlank="1" showInputMessage="1" showErrorMessage="1" sqref="B1006:B1048576 C19:C1005" xr:uid="{00000000-0002-0000-0200-000002000000}">
      <formula1>ISSUE_TYPES</formula1>
    </dataValidation>
    <dataValidation type="custom" allowBlank="1" showInputMessage="1" showErrorMessage="1" sqref="B18" xr:uid="{00000000-0002-0000-0200-000003000000}">
      <formula1>VLOOKUP(#REF!,EPICS_TABLE,3)</formula1>
    </dataValidation>
    <dataValidation type="custom" allowBlank="1" showInputMessage="1" showErrorMessage="1" sqref="C18:D18 C19:C48" xr:uid="{00000000-0002-0000-0200-000004000000}">
      <formula1>VLOOKUP(B18,EPICS_TABLE,3)</formula1>
    </dataValidation>
    <dataValidation type="custom" allowBlank="1" showInputMessage="1" showErrorMessage="1" sqref="E18:F48" xr:uid="{00000000-0002-0000-0200-000005000000}">
      <formula1>VLOOKUP(C18,EPICS_TABLE,3)</formula1>
    </dataValidation>
  </dataValidations>
  <pageMargins left="0.7" right="0.7" top="0.75" bottom="0.75" header="0.3" footer="0.3"/>
  <pageSetup paperSize="9" orientation="landscape" horizontalDpi="300"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115" stopIfTrue="1" operator="containsText" id="{06E71014-71DC-4441-BCE7-B23D916350E6}">
            <xm:f>NOT(ISERROR(SEARCH(TASK,B19)))</xm:f>
            <xm:f>TASK</xm:f>
            <x14:dxf>
              <font>
                <color auto="1"/>
              </font>
              <fill>
                <patternFill>
                  <bgColor rgb="FFFFFFC8"/>
                </patternFill>
              </fill>
            </x14:dxf>
          </x14:cfRule>
          <x14:cfRule type="containsText" priority="114" stopIfTrue="1" operator="containsText" id="{8BF807CD-6233-47E1-BE7B-7AB1C792F95E}">
            <xm:f>NOT(ISERROR(SEARCH(USER_STORY,B19)))</xm:f>
            <xm:f>USER_STORY</xm:f>
            <x14:dxf>
              <font>
                <color auto="1"/>
              </font>
              <fill>
                <patternFill>
                  <bgColor rgb="FFC7EEFF"/>
                </patternFill>
              </fill>
            </x14:dxf>
          </x14:cfRule>
          <xm:sqref>C19:D33 C36:D47 C49:F1005 B1006:B1048576</xm:sqref>
        </x14:conditionalFormatting>
        <x14:conditionalFormatting xmlns:xm="http://schemas.microsoft.com/office/excel/2006/main">
          <x14:cfRule type="containsText" priority="6" stopIfTrue="1" operator="containsText" id="{A0992908-4823-4D6C-B857-81BCD806D19F}">
            <xm:f>NOT(ISERROR(SEARCH(USER_STORY,C27)))</xm:f>
            <xm:f>USER_STORY</xm:f>
            <x14:dxf>
              <font>
                <color auto="1"/>
              </font>
              <fill>
                <patternFill>
                  <bgColor rgb="FFC7EEFF"/>
                </patternFill>
              </fill>
            </x14:dxf>
          </x14:cfRule>
          <x14:cfRule type="containsText" priority="7" stopIfTrue="1" operator="containsText" id="{8E99A7A6-8C0A-435E-87F2-C3813B8E35D8}">
            <xm:f>NOT(ISERROR(SEARCH(TASK,C27)))</xm:f>
            <xm:f>TASK</xm:f>
            <x14:dxf>
              <font>
                <color auto="1"/>
              </font>
              <fill>
                <patternFill>
                  <bgColor rgb="FFFFFFC8"/>
                </patternFill>
              </fill>
            </x14:dxf>
          </x14:cfRule>
          <xm:sqref>C27:D27</xm:sqref>
        </x14:conditionalFormatting>
        <x14:conditionalFormatting xmlns:xm="http://schemas.microsoft.com/office/excel/2006/main">
          <x14:cfRule type="containsText" priority="44" stopIfTrue="1" operator="containsText" id="{CE9514B5-D3BC-42E4-A912-DB5B1E34B210}">
            <xm:f>NOT(ISERROR(SEARCH(TASK,C34)))</xm:f>
            <xm:f>TASK</xm:f>
            <x14:dxf>
              <font>
                <color auto="1"/>
              </font>
              <fill>
                <patternFill>
                  <bgColor rgb="FFFFFFC8"/>
                </patternFill>
              </fill>
            </x14:dxf>
          </x14:cfRule>
          <x14:cfRule type="containsText" priority="43" stopIfTrue="1" operator="containsText" id="{4E0486E3-1731-44E5-83BB-948B1B3640B0}">
            <xm:f>NOT(ISERROR(SEARCH(USER_STORY,C34)))</xm:f>
            <xm:f>USER_STORY</xm:f>
            <x14:dxf>
              <font>
                <color auto="1"/>
              </font>
              <fill>
                <patternFill>
                  <bgColor rgb="FFC7EEFF"/>
                </patternFill>
              </fill>
            </x14:dxf>
          </x14:cfRule>
          <xm:sqref>C34:D35</xm:sqref>
        </x14:conditionalFormatting>
        <x14:conditionalFormatting xmlns:xm="http://schemas.microsoft.com/office/excel/2006/main">
          <x14:cfRule type="containsText" priority="25" stopIfTrue="1" operator="containsText" id="{53B95122-FCD2-4BAD-A853-BC91BA9279C5}">
            <xm:f>NOT(ISERROR(SEARCH(USER_STORY,C48)))</xm:f>
            <xm:f>USER_STORY</xm:f>
            <x14:dxf>
              <font>
                <color auto="1"/>
              </font>
              <fill>
                <patternFill>
                  <bgColor rgb="FFC7EEFF"/>
                </patternFill>
              </fill>
            </x14:dxf>
          </x14:cfRule>
          <x14:cfRule type="containsText" priority="26" stopIfTrue="1" operator="containsText" id="{EDDF89A2-1D41-4350-A901-244B8C6FD97C}">
            <xm:f>NOT(ISERROR(SEARCH(TASK,C48)))</xm:f>
            <xm:f>TASK</xm:f>
            <x14:dxf>
              <font>
                <color auto="1"/>
              </font>
              <fill>
                <patternFill>
                  <bgColor rgb="FFFFFFC8"/>
                </patternFill>
              </fill>
            </x14:dxf>
          </x14:cfRule>
          <xm:sqref>C48:D48</xm:sqref>
        </x14:conditionalFormatting>
        <x14:conditionalFormatting xmlns:xm="http://schemas.microsoft.com/office/excel/2006/main">
          <x14:cfRule type="dataBar" id="{EB54175F-F427-4CAF-8340-9B0085FF15FA}">
            <x14:dataBar minLength="0" maxLength="100" gradient="0">
              <x14:cfvo type="num">
                <xm:f>0</xm:f>
              </x14:cfvo>
              <x14:cfvo type="num">
                <xm:f>1</xm:f>
              </x14:cfvo>
              <x14:negativeFillColor rgb="FFFF0000"/>
              <x14:axisColor rgb="FF000000"/>
            </x14:dataBar>
          </x14:cfRule>
          <xm:sqref>D10:D11</xm:sqref>
        </x14:conditionalFormatting>
        <x14:conditionalFormatting xmlns:xm="http://schemas.microsoft.com/office/excel/2006/main">
          <x14:cfRule type="dataBar" id="{A17DBFB5-066A-41F9-AE65-0B451ED723A5}">
            <x14:dataBar minLength="0" maxLength="100" gradient="0">
              <x14:cfvo type="num">
                <xm:f>0</xm:f>
              </x14:cfvo>
              <x14:cfvo type="num">
                <xm:f>1</xm:f>
              </x14:cfvo>
              <x14:negativeFillColor rgb="FFFF0000"/>
              <x14:axisColor rgb="FF000000"/>
            </x14:dataBar>
          </x14:cfRule>
          <xm:sqref>D12</xm:sqref>
        </x14:conditionalFormatting>
        <x14:conditionalFormatting xmlns:xm="http://schemas.microsoft.com/office/excel/2006/main">
          <x14:cfRule type="dataBar" id="{E915DD26-2011-4FD5-BD23-16741F483A7C}">
            <x14:dataBar minLength="0" maxLength="100" gradient="0">
              <x14:cfvo type="num">
                <xm:f>0</xm:f>
              </x14:cfvo>
              <x14:cfvo type="num">
                <xm:f>1</xm:f>
              </x14:cfvo>
              <x14:negativeFillColor rgb="FFFF0000"/>
              <x14:axisColor rgb="FF000000"/>
            </x14:dataBar>
          </x14:cfRule>
          <xm:sqref>D14</xm:sqref>
        </x14:conditionalFormatting>
        <x14:conditionalFormatting xmlns:xm="http://schemas.microsoft.com/office/excel/2006/main">
          <x14:cfRule type="dataBar" id="{E144B338-5489-401F-9271-29FEFA9DC7FB}">
            <x14:dataBar minLength="0" maxLength="100" gradient="0">
              <x14:cfvo type="num">
                <xm:f>0</xm:f>
              </x14:cfvo>
              <x14:cfvo type="num">
                <xm:f>1</xm:f>
              </x14:cfvo>
              <x14:negativeFillColor rgb="FFFF0000"/>
              <x14:axisColor rgb="FF000000"/>
            </x14:dataBar>
          </x14:cfRule>
          <xm:sqref>F15 D15</xm:sqref>
        </x14:conditionalFormatting>
        <x14:conditionalFormatting xmlns:xm="http://schemas.microsoft.com/office/excel/2006/main">
          <x14:cfRule type="dataBar" id="{2C301432-3F4C-41AB-A8AA-A165314686BF}">
            <x14:dataBar minLength="0" maxLength="100" gradient="0">
              <x14:cfvo type="num">
                <xm:f>0</xm:f>
              </x14:cfvo>
              <x14:cfvo type="num">
                <xm:f>1</xm:f>
              </x14:cfvo>
              <x14:negativeFillColor rgb="FFFF0000"/>
              <x14:axisColor rgb="FF000000"/>
            </x14:dataBar>
          </x14:cfRule>
          <xm:sqref>G10:G11</xm:sqref>
        </x14:conditionalFormatting>
        <x14:conditionalFormatting xmlns:xm="http://schemas.microsoft.com/office/excel/2006/main">
          <x14:cfRule type="dataBar" id="{F40F9CB5-75A1-4095-8EFF-2DE50DA1D8E2}">
            <x14:dataBar minLength="0" maxLength="100" gradient="0">
              <x14:cfvo type="num">
                <xm:f>0</xm:f>
              </x14:cfvo>
              <x14:cfvo type="num">
                <xm:f>1</xm:f>
              </x14:cfvo>
              <x14:negativeFillColor rgb="FFFF0000"/>
              <x14:axisColor rgb="FF000000"/>
            </x14:dataBar>
          </x14:cfRule>
          <xm:sqref>G12</xm:sqref>
        </x14:conditionalFormatting>
        <x14:conditionalFormatting xmlns:xm="http://schemas.microsoft.com/office/excel/2006/main">
          <x14:cfRule type="containsText" priority="5" stopIfTrue="1" operator="containsText" id="{5AC47BEF-86D4-479E-A0F0-6E9AEFF5F56E}">
            <xm:f>NOT(ISERROR(SEARCH(COMPLETED,L27)))</xm:f>
            <xm:f>COMPLETED</xm:f>
            <x14:dxf>
              <font>
                <color auto="1"/>
              </font>
              <fill>
                <patternFill>
                  <bgColor rgb="FFBDEF88"/>
                </patternFill>
              </fill>
            </x14:dxf>
          </x14:cfRule>
          <xm:sqref>L27</xm:sqref>
        </x14:conditionalFormatting>
        <x14:conditionalFormatting xmlns:xm="http://schemas.microsoft.com/office/excel/2006/main">
          <x14:cfRule type="containsText" priority="24" stopIfTrue="1" operator="containsText" id="{65B6FB35-DFA8-4A99-8754-9CA735D83A4D}">
            <xm:f>NOT(ISERROR(SEARCH(COMPLETED,L48)))</xm:f>
            <xm:f>COMPLETED</xm:f>
            <x14:dxf>
              <font>
                <color auto="1"/>
              </font>
              <fill>
                <patternFill>
                  <bgColor rgb="FFBDEF88"/>
                </patternFill>
              </fill>
            </x14:dxf>
          </x14:cfRule>
          <xm:sqref>L48</xm:sqref>
        </x14:conditionalFormatting>
        <x14:conditionalFormatting xmlns:xm="http://schemas.microsoft.com/office/excel/2006/main">
          <x14:cfRule type="containsText" priority="113" stopIfTrue="1" operator="containsText" id="{5070FBD6-7AE2-47CF-AB68-444DB199DC9D}">
            <xm:f>NOT(ISERROR(SEARCH(COMPLETED,L19)))</xm:f>
            <xm:f>COMPLETED</xm:f>
            <x14:dxf>
              <font>
                <color auto="1"/>
              </font>
              <fill>
                <patternFill>
                  <bgColor rgb="FFBDEF88"/>
                </patternFill>
              </fill>
            </x14:dxf>
          </x14:cfRule>
          <xm:sqref>L19:O19 L20:L21 N20:O21 L22:O47 L49:O1005</xm:sqref>
        </x14:conditionalFormatting>
        <x14:conditionalFormatting xmlns:xm="http://schemas.microsoft.com/office/excel/2006/main">
          <x14:cfRule type="containsText" priority="3" stopIfTrue="1" operator="containsText" id="{361C90D5-5D87-4493-AE4E-FFB41C85EE0A}">
            <xm:f>NOT(ISERROR(SEARCH(COMPLETED,M27)))</xm:f>
            <xm:f>COMPLETED</xm:f>
            <x14:dxf>
              <font>
                <color auto="1"/>
              </font>
              <fill>
                <patternFill>
                  <bgColor rgb="FFBDEF88"/>
                </patternFill>
              </fill>
            </x14:dxf>
          </x14:cfRule>
          <xm:sqref>M27:O27</xm:sqref>
        </x14:conditionalFormatting>
        <x14:conditionalFormatting xmlns:xm="http://schemas.microsoft.com/office/excel/2006/main">
          <x14:cfRule type="containsText" priority="21" stopIfTrue="1" operator="containsText" id="{E268D198-BA64-4E74-BDD3-1CCEB681CB32}">
            <xm:f>NOT(ISERROR(SEARCH(COMPLETED,M48)))</xm:f>
            <xm:f>COMPLETED</xm:f>
            <x14:dxf>
              <font>
                <color auto="1"/>
              </font>
              <fill>
                <patternFill>
                  <bgColor rgb="FFBDEF88"/>
                </patternFill>
              </fill>
            </x14:dxf>
          </x14:cfRule>
          <xm:sqref>M48:O48</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19</vt:i4>
      </vt:variant>
    </vt:vector>
  </HeadingPairs>
  <TitlesOfParts>
    <vt:vector size="22" baseType="lpstr">
      <vt:lpstr>Calculator</vt:lpstr>
      <vt:lpstr>Steps</vt:lpstr>
      <vt:lpstr>Feature and delivery timeline</vt:lpstr>
      <vt:lpstr>'Feature and delivery timeline'!ACCPT_STATUS</vt:lpstr>
      <vt:lpstr>'Feature and delivery timeline'!APPROVED</vt:lpstr>
      <vt:lpstr>'Feature and delivery timeline'!BLOCKER</vt:lpstr>
      <vt:lpstr>'Feature and delivery timeline'!COMPLETED</vt:lpstr>
      <vt:lpstr>'Feature and delivery timeline'!EPIC_COLUMN</vt:lpstr>
      <vt:lpstr>'Feature and delivery timeline'!IN_PROGRESS</vt:lpstr>
      <vt:lpstr>'Feature and delivery timeline'!ISSUE_TYPE_COLUMN</vt:lpstr>
      <vt:lpstr>'Feature and delivery timeline'!JIRA_NUMBERS_COLUMN</vt:lpstr>
      <vt:lpstr>'Feature and delivery timeline'!MAJOR</vt:lpstr>
      <vt:lpstr>'Feature and delivery timeline'!NOT_STARTED</vt:lpstr>
      <vt:lpstr>'Feature and delivery timeline'!PENDING</vt:lpstr>
      <vt:lpstr>'Feature and delivery timeline'!PRIORITIES</vt:lpstr>
      <vt:lpstr>'Feature and delivery timeline'!PRIORITY_COLUMN</vt:lpstr>
      <vt:lpstr>'Feature and delivery timeline'!PRL_TABLE</vt:lpstr>
      <vt:lpstr>'Feature and delivery timeline'!REJECTED</vt:lpstr>
      <vt:lpstr>'Feature and delivery timeline'!SCOPE</vt:lpstr>
      <vt:lpstr>'Feature and delivery timeline'!SP_COLUMN</vt:lpstr>
      <vt:lpstr>'Feature and delivery timeline'!STATUSES_COLUMN</vt:lpstr>
      <vt:lpstr>'Feature and delivery timeline'!TASKS_COLUMN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Lukasz Pyzik</dc:creator>
  <cp:keywords/>
  <dc:description/>
  <cp:lastModifiedBy>Anirban Das</cp:lastModifiedBy>
  <cp:revision/>
  <dcterms:created xsi:type="dcterms:W3CDTF">2019-01-10T09:37:39Z</dcterms:created>
  <dcterms:modified xsi:type="dcterms:W3CDTF">2026-03-18T13:21:16Z</dcterms:modified>
  <cp:category/>
  <cp:contentStatus/>
</cp:coreProperties>
</file>